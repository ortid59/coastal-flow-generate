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P Template" sheetId="1" r:id="rId4"/>
  </sheets>
  <definedNames>
    <definedName name="Weeks">'RFP Template'!$AJ:$AJ</definedName>
  </definedNames>
  <calcPr/>
  <extLst>
    <ext uri="GoogleSheetsCustomDataVersion2">
      <go:sheetsCustomData xmlns:go="http://customooxmlschemas.google.com/" r:id="rId5" roundtripDataChecksum="Y+XmlcfQaaTuGG+NBJq5m+pM2s0oA6gfqw2OR/t+8N0="/>
    </ext>
  </extLst>
</workbook>
</file>

<file path=xl/sharedStrings.xml><?xml version="1.0" encoding="utf-8"?>
<sst xmlns="http://schemas.openxmlformats.org/spreadsheetml/2006/main" count="345" uniqueCount="109">
  <si>
    <t>Market</t>
  </si>
  <si>
    <t>Vendor</t>
  </si>
  <si>
    <t>Unit #</t>
  </si>
  <si>
    <t>Format</t>
  </si>
  <si>
    <t>Size</t>
  </si>
  <si>
    <t xml:space="preserve"># of Units </t>
  </si>
  <si>
    <t>Location Description</t>
  </si>
  <si>
    <t>Latitude</t>
  </si>
  <si>
    <t>Longitude</t>
  </si>
  <si>
    <t xml:space="preserve">Facing </t>
  </si>
  <si>
    <t>LHR/RHR</t>
  </si>
  <si>
    <t>Weekly A18+ Impressions</t>
  </si>
  <si>
    <t>4 Week A18+ Impressions</t>
  </si>
  <si>
    <t>Spot Length</t>
  </si>
  <si>
    <t>Loop Length</t>
  </si>
  <si>
    <t>SOV%</t>
  </si>
  <si>
    <t>Current # of Advertisers</t>
  </si>
  <si>
    <t>Start Date</t>
  </si>
  <si>
    <t>End Date</t>
  </si>
  <si>
    <t># of Four week Periods</t>
  </si>
  <si>
    <t>4 Week Rate Card</t>
  </si>
  <si>
    <t>4 Week Negotiated Rate</t>
  </si>
  <si>
    <t>INTERNAL 4-WEEK RATE</t>
  </si>
  <si>
    <t xml:space="preserve">Production </t>
  </si>
  <si>
    <t>Install</t>
  </si>
  <si>
    <t>Total Cost</t>
  </si>
  <si>
    <t>CPM</t>
  </si>
  <si>
    <t>Artwork Due Date</t>
  </si>
  <si>
    <t>Notes</t>
  </si>
  <si>
    <t>Jacksonville FL</t>
  </si>
  <si>
    <t>Clear Channel</t>
  </si>
  <si>
    <t>001115</t>
  </si>
  <si>
    <t>Bulletin 10'6x36</t>
  </si>
  <si>
    <t>10'6" x 36'</t>
  </si>
  <si>
    <t>Phillips Hwy WS 2000ft S/O St. Augustine Rd F/N -</t>
  </si>
  <si>
    <t>N</t>
  </si>
  <si>
    <t>Center</t>
  </si>
  <si>
    <t/>
  </si>
  <si>
    <t>3/23/2026</t>
  </si>
  <si>
    <t>9/6/2026</t>
  </si>
  <si>
    <t xml:space="preserve">**TOTAL COST INCLUDES PRODUCTION TAX AS WELL, ON ALL LINES </t>
  </si>
  <si>
    <t>002658</t>
  </si>
  <si>
    <t>Digital Premiere Panel</t>
  </si>
  <si>
    <t>12' x 24'</t>
  </si>
  <si>
    <t>University Blvd NS 500ft W/O Terry Rd F/W - 1</t>
  </si>
  <si>
    <t>W</t>
  </si>
  <si>
    <t>Left</t>
  </si>
  <si>
    <t>002659</t>
  </si>
  <si>
    <t>University Blvd NS 500ft W/O Terry Rd F/E - 2</t>
  </si>
  <si>
    <t>E</t>
  </si>
  <si>
    <t>Right</t>
  </si>
  <si>
    <t>002758</t>
  </si>
  <si>
    <t>Phillips Hwy ES 100ft N/O Reba Ave F/S - 2</t>
  </si>
  <si>
    <t>S</t>
  </si>
  <si>
    <t>002901</t>
  </si>
  <si>
    <t>Bulletin 14x48</t>
  </si>
  <si>
    <t>14' x 48'</t>
  </si>
  <si>
    <t>Beach Blvd NS 0.3mi E/O Hodges F/W - 1</t>
  </si>
  <si>
    <t>002934</t>
  </si>
  <si>
    <t>Digital Bulletin</t>
  </si>
  <si>
    <t>Beach Blvd SS 1500ft W/O Southside Blvd F/E - 1</t>
  </si>
  <si>
    <t>003165</t>
  </si>
  <si>
    <t>Atlantic Blvd SS 500ft E/O St Johns Bluff Rd F/W - 1</t>
  </si>
  <si>
    <t>003167</t>
  </si>
  <si>
    <t>Atlantic Blvd NS 1500ft E/O San Pablo Blvd F/E - 1</t>
  </si>
  <si>
    <t>003301</t>
  </si>
  <si>
    <t>Southside Blvd WS 250ft N/O Beach Blvd F/N - 2</t>
  </si>
  <si>
    <t>003340</t>
  </si>
  <si>
    <t>Southside Blvd ES 600ft S/O Beach Blvd F/N - 1</t>
  </si>
  <si>
    <t>003360</t>
  </si>
  <si>
    <t>Phillips Hwy WS 2000ft N/O Baymeadows Rd F/S - 1</t>
  </si>
  <si>
    <t>003375</t>
  </si>
  <si>
    <t>Beach Blvd SS 100ft W/O Hart Bridge Xway F/E - 1</t>
  </si>
  <si>
    <t>004095</t>
  </si>
  <si>
    <t>Atlantic Blvd NS 500ft W/O Arlington Rd F/W - 1</t>
  </si>
  <si>
    <t>004146</t>
  </si>
  <si>
    <t>I-95 WS 0.2mi S/O University Blvd F/S - 1</t>
  </si>
  <si>
    <t>004187</t>
  </si>
  <si>
    <t>Phillips Hwy WS 700ft S/O Baymeadows Road F/N - 1</t>
  </si>
  <si>
    <t>004193</t>
  </si>
  <si>
    <t>I-95 ES 0.2mi N/O University Blvd F/S - 1</t>
  </si>
  <si>
    <t>004220</t>
  </si>
  <si>
    <t>Southside Blvd WS 500ft S/O Beach Blvd F/S - 1</t>
  </si>
  <si>
    <t>006572</t>
  </si>
  <si>
    <t>Beach Blvd SS 0.5mi W/O San Pablo Blvd F/W - 1</t>
  </si>
  <si>
    <t>007033</t>
  </si>
  <si>
    <t>I-295 NS 0.3mi N/O Old St Augustine Rd F/W - 1</t>
  </si>
  <si>
    <t>007053</t>
  </si>
  <si>
    <t>I-295 SS 400ft E/O Old St. Augustine Rd. F/W - 2</t>
  </si>
  <si>
    <t>008057</t>
  </si>
  <si>
    <t>Atlantic Blvd SS 0.4mi E/O Arlington Rd F/E - 1</t>
  </si>
  <si>
    <t>008065</t>
  </si>
  <si>
    <t>Beach Blvd NS 4000ft E/O St Johns Bluff Rd F/W - 1</t>
  </si>
  <si>
    <t>008091</t>
  </si>
  <si>
    <t>Phillips Hwy WS 1000ft N/O Sunbeam Rd F/S - 1</t>
  </si>
  <si>
    <t>008301</t>
  </si>
  <si>
    <t>Phillips ES 0.2mi S/O Southside F/S - 2</t>
  </si>
  <si>
    <t>008401</t>
  </si>
  <si>
    <t>Philips Hwy ES 0.1mi S/O 9B F/S - 1</t>
  </si>
  <si>
    <t>009033</t>
  </si>
  <si>
    <t>St Johns Bluff Rd ES 300ft S/O Beach Blvd F/N - 1</t>
  </si>
  <si>
    <t>009075</t>
  </si>
  <si>
    <t>Beach Blvd NS 1mi E/O Southside Blvd F/E - 2</t>
  </si>
  <si>
    <t>009108</t>
  </si>
  <si>
    <t>Beach Blvd NS 500ft W/O West Rd F/W -</t>
  </si>
  <si>
    <t>009113</t>
  </si>
  <si>
    <t>I-295 SS 0.3mi E/O PHILIPS HWY F/W - 1</t>
  </si>
  <si>
    <t>009403</t>
  </si>
  <si>
    <t>I-295 ES 0.4mi N/O Monument Rd F/S - 1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</si>
</sst>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0"/>
    <numFmt numFmtId="165" formatCode="&quot;$&quot;#,##0"/>
    <numFmt numFmtId="166" formatCode="&quot;$&quot;#,##0.00"/>
  </numFmts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theme="0"/>
      <name val="Arial"/>
    </font>
    <font>
      <sz val="10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5D9A"/>
        <bgColor rgb="FF005D9A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vertical="center"/>
    </xf>
    <xf borderId="2" fillId="3" fontId="3" numFmtId="49" xfId="0" applyAlignment="1" applyBorder="1" applyFont="1" applyNumberFormat="1">
      <alignment horizontal="center" vertical="center"/>
    </xf>
    <xf borderId="2" fillId="3" fontId="3" numFmtId="164" xfId="0" applyAlignment="1" applyBorder="1" applyFont="1" applyNumberFormat="1">
      <alignment horizontal="center" vertical="center"/>
    </xf>
    <xf borderId="2" fillId="3" fontId="3" numFmtId="3" xfId="0" applyAlignment="1" applyBorder="1" applyFont="1" applyNumberFormat="1">
      <alignment horizontal="center" vertical="center"/>
    </xf>
    <xf borderId="2" fillId="3" fontId="3" numFmtId="1" xfId="0" applyAlignment="1" applyBorder="1" applyFont="1" applyNumberFormat="1">
      <alignment horizontal="center" vertical="center"/>
    </xf>
    <xf borderId="2" fillId="3" fontId="4" numFmtId="0" xfId="0" applyAlignment="1" applyBorder="1" applyFont="1">
      <alignment horizontal="center"/>
    </xf>
    <xf borderId="2" fillId="3" fontId="3" numFmtId="14" xfId="0" applyAlignment="1" applyBorder="1" applyFont="1" applyNumberFormat="1">
      <alignment horizontal="center" vertical="center"/>
    </xf>
    <xf borderId="2" fillId="3" fontId="3" numFmtId="165" xfId="0" applyAlignment="1" applyBorder="1" applyFont="1" applyNumberFormat="1">
      <alignment horizontal="center" vertical="center"/>
    </xf>
    <xf borderId="2" fillId="3" fontId="3" numFmtId="166" xfId="0" applyAlignment="1" applyBorder="1" applyFont="1" applyNumberFormat="1">
      <alignment horizontal="center" vertical="center"/>
    </xf>
    <xf borderId="2" fillId="3" fontId="4" numFmtId="14" xfId="0" applyAlignment="1" applyBorder="1" applyFont="1" applyNumberFormat="1">
      <alignment horizontal="center"/>
    </xf>
    <xf borderId="2" fillId="3" fontId="4" numFmtId="0" xfId="0" applyAlignment="1" applyBorder="1" applyFont="1">
      <alignment horizontal="center" shrinkToFit="0" wrapText="1"/>
    </xf>
    <xf borderId="2" fillId="4" fontId="3" numFmtId="0" xfId="0" applyAlignment="1" applyBorder="1" applyFill="1" applyFont="1">
      <alignment horizontal="center" vertical="center"/>
    </xf>
    <xf borderId="2" fillId="4" fontId="3" numFmtId="49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3" numFmtId="164" xfId="0" applyAlignment="1" applyBorder="1" applyFont="1" applyNumberFormat="1">
      <alignment horizontal="center" vertical="center"/>
    </xf>
    <xf borderId="2" fillId="0" fontId="3" numFmtId="3" xfId="0" applyAlignment="1" applyBorder="1" applyFont="1" applyNumberFormat="1">
      <alignment horizontal="center" vertical="center"/>
    </xf>
    <xf borderId="2" fillId="0" fontId="3" numFmtId="1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/>
    </xf>
    <xf borderId="2" fillId="0" fontId="3" numFmtId="14" xfId="0" applyAlignment="1" applyBorder="1" applyFont="1" applyNumberFormat="1">
      <alignment horizontal="center" vertical="center"/>
    </xf>
    <xf borderId="2" fillId="0" fontId="3" numFmtId="165" xfId="0" applyAlignment="1" applyBorder="1" applyFont="1" applyNumberFormat="1">
      <alignment horizontal="center" vertical="center"/>
    </xf>
    <xf borderId="2" fillId="0" fontId="3" numFmtId="166" xfId="0" applyAlignment="1" applyBorder="1" applyFont="1" applyNumberFormat="1">
      <alignment horizontal="center" vertical="center"/>
    </xf>
    <xf borderId="2" fillId="0" fontId="4" numFmtId="14" xfId="0" applyAlignment="1" applyBorder="1" applyFont="1" applyNumberFormat="1">
      <alignment horizontal="center"/>
    </xf>
    <xf borderId="2" fillId="0" fontId="4" numFmtId="0" xfId="0" applyAlignment="1" applyBorder="1" applyFont="1">
      <alignment horizontal="center" shrinkToFit="0" wrapText="1"/>
    </xf>
    <xf borderId="2" fillId="3" fontId="4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2" width="19.14"/>
    <col customWidth="1" min="3" max="3" width="24.86"/>
    <col customWidth="1" min="4" max="4" width="18.43"/>
    <col customWidth="1" min="5" max="5" width="23.43"/>
    <col customWidth="1" min="6" max="6" width="12.43"/>
    <col customWidth="1" min="7" max="7" width="45.71"/>
    <col customWidth="1" min="8" max="9" width="12.43"/>
    <col customWidth="1" min="10" max="10" width="9.14"/>
    <col customWidth="1" min="11" max="12" width="12.43"/>
    <col customWidth="1" min="13" max="13" width="12.29"/>
    <col customWidth="1" min="14" max="16" width="8.71"/>
    <col customWidth="1" min="17" max="17" width="15.29"/>
    <col customWidth="1" min="19" max="20" width="13.43"/>
    <col customWidth="1" min="21" max="21" width="19.0"/>
    <col customWidth="1" min="22" max="22" width="19.71"/>
    <col customWidth="1" min="23" max="25" width="17.29"/>
    <col customWidth="1" min="26" max="26" width="14.86"/>
    <col customWidth="1" min="27" max="28" width="22.57"/>
    <col customWidth="1" min="29" max="29" width="26.43"/>
  </cols>
  <sheetData>
    <row r="1" ht="42.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6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</row>
    <row r="2" ht="14.25" customHeight="1">
      <c r="A2" s="7" t="s">
        <v>29</v>
      </c>
      <c r="B2" s="8" t="s">
        <v>30</v>
      </c>
      <c r="C2" s="8" t="s">
        <v>31</v>
      </c>
      <c r="D2" s="7" t="s">
        <v>32</v>
      </c>
      <c r="E2" s="7" t="s">
        <v>33</v>
      </c>
      <c r="F2" s="7">
        <v>1.0</v>
      </c>
      <c r="G2" s="7" t="s">
        <v>34</v>
      </c>
      <c r="H2" s="9">
        <v>30.293314</v>
      </c>
      <c r="I2" s="9">
        <v>-81.638673</v>
      </c>
      <c r="J2" s="7" t="s">
        <v>35</v>
      </c>
      <c r="K2" s="9" t="s">
        <v>36</v>
      </c>
      <c r="L2" s="10">
        <v>57884.21723064</v>
      </c>
      <c r="M2" s="10">
        <v>231536.87</v>
      </c>
      <c r="N2" s="11" t="s">
        <v>37</v>
      </c>
      <c r="O2" s="12"/>
      <c r="P2" s="12"/>
      <c r="Q2" s="12"/>
      <c r="R2" s="13" t="s">
        <v>38</v>
      </c>
      <c r="S2" s="13" t="s">
        <v>39</v>
      </c>
      <c r="T2" s="7">
        <f t="array" ref="T2">INDEX(Weeks, ROW(),1)/4</f>
        <v>0</v>
      </c>
      <c r="U2" s="14">
        <v>3670.0</v>
      </c>
      <c r="V2" s="14">
        <v>2300.0</v>
      </c>
      <c r="W2" s="14">
        <f t="shared" ref="W2:W31" si="1">V2*1.2</f>
        <v>2760</v>
      </c>
      <c r="X2" s="14">
        <v>378.0</v>
      </c>
      <c r="Y2" s="14">
        <v>0.0</v>
      </c>
      <c r="Z2" s="14">
        <v>14206.35</v>
      </c>
      <c r="AA2" s="15">
        <v>9.93</v>
      </c>
      <c r="AB2" s="16">
        <v>46087.0</v>
      </c>
      <c r="AC2" s="17" t="s">
        <v>40</v>
      </c>
    </row>
    <row r="3" ht="14.25" customHeight="1">
      <c r="A3" s="7" t="s">
        <v>29</v>
      </c>
      <c r="B3" s="8" t="s">
        <v>30</v>
      </c>
      <c r="C3" s="8" t="s">
        <v>41</v>
      </c>
      <c r="D3" s="7" t="s">
        <v>42</v>
      </c>
      <c r="E3" s="7" t="s">
        <v>43</v>
      </c>
      <c r="F3" s="7">
        <v>1.0</v>
      </c>
      <c r="G3" s="7" t="s">
        <v>44</v>
      </c>
      <c r="H3" s="9">
        <v>30.276828</v>
      </c>
      <c r="I3" s="9">
        <v>-81.603967</v>
      </c>
      <c r="J3" s="7" t="s">
        <v>45</v>
      </c>
      <c r="K3" s="9" t="s">
        <v>46</v>
      </c>
      <c r="L3" s="10">
        <v>139051.36146008</v>
      </c>
      <c r="M3" s="10">
        <v>556205.45</v>
      </c>
      <c r="N3" s="11">
        <v>8.0</v>
      </c>
      <c r="O3" s="12">
        <v>64.0</v>
      </c>
      <c r="P3" s="12">
        <v>12.5</v>
      </c>
      <c r="Q3" s="12">
        <v>8.0</v>
      </c>
      <c r="R3" s="13" t="s">
        <v>38</v>
      </c>
      <c r="S3" s="13" t="s">
        <v>39</v>
      </c>
      <c r="T3" s="7">
        <f t="array" ref="T3">INDEX(Weeks, ROW(),1)/4</f>
        <v>0</v>
      </c>
      <c r="U3" s="14">
        <v>1340.0</v>
      </c>
      <c r="V3" s="14">
        <v>800.0</v>
      </c>
      <c r="W3" s="14">
        <f t="shared" si="1"/>
        <v>960</v>
      </c>
      <c r="X3" s="14">
        <v>0.0</v>
      </c>
      <c r="Y3" s="14">
        <v>0.0</v>
      </c>
      <c r="Z3" s="14">
        <v>4800.0</v>
      </c>
      <c r="AA3" s="15">
        <v>1.44</v>
      </c>
      <c r="AB3" s="16">
        <v>46099.0</v>
      </c>
      <c r="AC3" s="17"/>
    </row>
    <row r="4" ht="14.25" customHeight="1">
      <c r="A4" s="18" t="s">
        <v>29</v>
      </c>
      <c r="B4" s="19" t="s">
        <v>30</v>
      </c>
      <c r="C4" s="19" t="s">
        <v>47</v>
      </c>
      <c r="D4" s="20" t="s">
        <v>42</v>
      </c>
      <c r="E4" s="20" t="s">
        <v>43</v>
      </c>
      <c r="F4" s="20">
        <v>1.0</v>
      </c>
      <c r="G4" s="20" t="s">
        <v>48</v>
      </c>
      <c r="H4" s="21">
        <v>30.276833</v>
      </c>
      <c r="I4" s="21">
        <v>-81.603962</v>
      </c>
      <c r="J4" s="20" t="s">
        <v>49</v>
      </c>
      <c r="K4" s="21" t="s">
        <v>50</v>
      </c>
      <c r="L4" s="22">
        <v>149930.752094</v>
      </c>
      <c r="M4" s="10">
        <v>599723.01</v>
      </c>
      <c r="N4" s="23">
        <v>8.0</v>
      </c>
      <c r="O4" s="24">
        <v>64.0</v>
      </c>
      <c r="P4" s="24">
        <v>12.5</v>
      </c>
      <c r="Q4" s="24">
        <v>8.0</v>
      </c>
      <c r="R4" s="25" t="s">
        <v>38</v>
      </c>
      <c r="S4" s="25" t="s">
        <v>39</v>
      </c>
      <c r="T4" s="20">
        <f t="array" ref="T4">INDEX(Weeks, ROW(),1)/4</f>
        <v>0</v>
      </c>
      <c r="U4" s="26">
        <v>1340.0</v>
      </c>
      <c r="V4" s="26">
        <v>800.0</v>
      </c>
      <c r="W4" s="14">
        <f t="shared" si="1"/>
        <v>960</v>
      </c>
      <c r="X4" s="26">
        <v>0.0</v>
      </c>
      <c r="Y4" s="26">
        <v>0.0</v>
      </c>
      <c r="Z4" s="26">
        <v>4800.0</v>
      </c>
      <c r="AA4" s="27">
        <v>1.33</v>
      </c>
      <c r="AB4" s="28">
        <v>46099.0</v>
      </c>
      <c r="AC4" s="29"/>
    </row>
    <row r="5" ht="14.25" customHeight="1">
      <c r="A5" s="18" t="s">
        <v>29</v>
      </c>
      <c r="B5" s="19" t="s">
        <v>30</v>
      </c>
      <c r="C5" s="19" t="s">
        <v>51</v>
      </c>
      <c r="D5" s="20" t="s">
        <v>42</v>
      </c>
      <c r="E5" s="20" t="s">
        <v>43</v>
      </c>
      <c r="F5" s="20">
        <v>1.0</v>
      </c>
      <c r="G5" s="20" t="s">
        <v>52</v>
      </c>
      <c r="H5" s="21">
        <v>30.27882</v>
      </c>
      <c r="I5" s="21">
        <v>-81.62697</v>
      </c>
      <c r="J5" s="20" t="s">
        <v>53</v>
      </c>
      <c r="K5" s="21" t="s">
        <v>50</v>
      </c>
      <c r="L5" s="22">
        <v>63196.515680827</v>
      </c>
      <c r="M5" s="10">
        <v>252786.06</v>
      </c>
      <c r="N5" s="23">
        <v>8.0</v>
      </c>
      <c r="O5" s="24">
        <v>64.0</v>
      </c>
      <c r="P5" s="24">
        <v>12.5</v>
      </c>
      <c r="Q5" s="24">
        <v>8.0</v>
      </c>
      <c r="R5" s="25" t="s">
        <v>38</v>
      </c>
      <c r="S5" s="25" t="s">
        <v>39</v>
      </c>
      <c r="T5" s="20">
        <f t="array" ref="T5">INDEX(Weeks, ROW(),1)/4</f>
        <v>0</v>
      </c>
      <c r="U5" s="26">
        <v>1340.0</v>
      </c>
      <c r="V5" s="26">
        <v>800.0</v>
      </c>
      <c r="W5" s="14">
        <f t="shared" si="1"/>
        <v>960</v>
      </c>
      <c r="X5" s="26">
        <v>0.0</v>
      </c>
      <c r="Y5" s="26">
        <v>0.0</v>
      </c>
      <c r="Z5" s="26">
        <v>4800.0</v>
      </c>
      <c r="AA5" s="27">
        <v>3.16</v>
      </c>
      <c r="AB5" s="28">
        <v>46099.0</v>
      </c>
      <c r="AC5" s="29"/>
    </row>
    <row r="6" ht="27.75" customHeight="1">
      <c r="A6" s="7" t="s">
        <v>29</v>
      </c>
      <c r="B6" s="8" t="s">
        <v>30</v>
      </c>
      <c r="C6" s="8" t="s">
        <v>54</v>
      </c>
      <c r="D6" s="7" t="s">
        <v>55</v>
      </c>
      <c r="E6" s="7" t="s">
        <v>56</v>
      </c>
      <c r="F6" s="7">
        <v>1.0</v>
      </c>
      <c r="G6" s="7" t="s">
        <v>57</v>
      </c>
      <c r="H6" s="9">
        <v>30.288064</v>
      </c>
      <c r="I6" s="9">
        <v>-81.452512</v>
      </c>
      <c r="J6" s="7" t="s">
        <v>45</v>
      </c>
      <c r="K6" s="9" t="s">
        <v>46</v>
      </c>
      <c r="L6" s="10">
        <v>148650.82553587</v>
      </c>
      <c r="M6" s="10">
        <v>594603.3</v>
      </c>
      <c r="N6" s="11" t="s">
        <v>37</v>
      </c>
      <c r="O6" s="30"/>
      <c r="P6" s="30"/>
      <c r="Q6" s="30"/>
      <c r="R6" s="13" t="s">
        <v>38</v>
      </c>
      <c r="S6" s="13" t="s">
        <v>39</v>
      </c>
      <c r="T6" s="7">
        <f t="array" ref="T6">INDEX(Weeks, ROW(),1)/4</f>
        <v>0</v>
      </c>
      <c r="U6" s="14">
        <v>8340.0</v>
      </c>
      <c r="V6" s="14">
        <v>5335.0</v>
      </c>
      <c r="W6" s="14">
        <f t="shared" si="1"/>
        <v>6402</v>
      </c>
      <c r="X6" s="14">
        <v>672.0</v>
      </c>
      <c r="Y6" s="14">
        <v>0.0</v>
      </c>
      <c r="Z6" s="14">
        <v>32732.4</v>
      </c>
      <c r="AA6" s="15">
        <v>8.97</v>
      </c>
      <c r="AB6" s="16">
        <v>46087.0</v>
      </c>
      <c r="AC6" s="31"/>
    </row>
    <row r="7" ht="28.5" customHeight="1">
      <c r="A7" s="7" t="s">
        <v>29</v>
      </c>
      <c r="B7" s="8" t="s">
        <v>30</v>
      </c>
      <c r="C7" s="8" t="s">
        <v>58</v>
      </c>
      <c r="D7" s="7" t="s">
        <v>59</v>
      </c>
      <c r="E7" s="7" t="s">
        <v>56</v>
      </c>
      <c r="F7" s="7">
        <v>1.0</v>
      </c>
      <c r="G7" s="7" t="s">
        <v>60</v>
      </c>
      <c r="H7" s="9">
        <v>30.28683</v>
      </c>
      <c r="I7" s="9">
        <v>-81.566306</v>
      </c>
      <c r="J7" s="7" t="s">
        <v>49</v>
      </c>
      <c r="K7" s="9" t="s">
        <v>46</v>
      </c>
      <c r="L7" s="10">
        <v>509981.14025489</v>
      </c>
      <c r="M7" s="10">
        <v>2039924.56</v>
      </c>
      <c r="N7" s="11">
        <v>8.0</v>
      </c>
      <c r="O7" s="12">
        <v>64.0</v>
      </c>
      <c r="P7" s="12">
        <v>12.5</v>
      </c>
      <c r="Q7" s="12">
        <v>8.0</v>
      </c>
      <c r="R7" s="13" t="s">
        <v>38</v>
      </c>
      <c r="S7" s="13" t="s">
        <v>39</v>
      </c>
      <c r="T7" s="7">
        <f t="array" ref="T7">INDEX(Weeks, ROW(),1)/4</f>
        <v>0</v>
      </c>
      <c r="U7" s="14">
        <v>3340.0</v>
      </c>
      <c r="V7" s="14">
        <v>2000.0</v>
      </c>
      <c r="W7" s="14">
        <f t="shared" si="1"/>
        <v>2400</v>
      </c>
      <c r="X7" s="14">
        <v>0.0</v>
      </c>
      <c r="Y7" s="14">
        <v>0.0</v>
      </c>
      <c r="Z7" s="14">
        <v>12000.0</v>
      </c>
      <c r="AA7" s="15">
        <v>0.98</v>
      </c>
      <c r="AB7" s="16">
        <v>46099.0</v>
      </c>
      <c r="AC7" s="17"/>
    </row>
    <row r="8" ht="14.25" customHeight="1">
      <c r="A8" s="7" t="s">
        <v>29</v>
      </c>
      <c r="B8" s="8" t="s">
        <v>30</v>
      </c>
      <c r="C8" s="8" t="s">
        <v>61</v>
      </c>
      <c r="D8" s="7" t="s">
        <v>59</v>
      </c>
      <c r="E8" s="7" t="s">
        <v>56</v>
      </c>
      <c r="F8" s="7">
        <v>1.0</v>
      </c>
      <c r="G8" s="7" t="s">
        <v>62</v>
      </c>
      <c r="H8" s="9">
        <v>30.324429</v>
      </c>
      <c r="I8" s="9">
        <v>-81.518458</v>
      </c>
      <c r="J8" s="7" t="s">
        <v>45</v>
      </c>
      <c r="K8" s="9" t="s">
        <v>50</v>
      </c>
      <c r="L8" s="10">
        <v>650706.75306172</v>
      </c>
      <c r="M8" s="10">
        <v>2602827.01</v>
      </c>
      <c r="N8" s="11">
        <v>8.0</v>
      </c>
      <c r="O8" s="12">
        <v>64.0</v>
      </c>
      <c r="P8" s="12">
        <v>12.5</v>
      </c>
      <c r="Q8" s="12">
        <v>8.0</v>
      </c>
      <c r="R8" s="13" t="s">
        <v>38</v>
      </c>
      <c r="S8" s="13" t="s">
        <v>39</v>
      </c>
      <c r="T8" s="7">
        <f t="array" ref="T8">INDEX(Weeks, ROW(),1)/4</f>
        <v>0</v>
      </c>
      <c r="U8" s="14">
        <v>5840.0</v>
      </c>
      <c r="V8" s="14">
        <v>3500.0</v>
      </c>
      <c r="W8" s="14">
        <f t="shared" si="1"/>
        <v>4200</v>
      </c>
      <c r="X8" s="14">
        <v>0.0</v>
      </c>
      <c r="Y8" s="14">
        <v>0.0</v>
      </c>
      <c r="Z8" s="14">
        <v>21000.0</v>
      </c>
      <c r="AA8" s="15">
        <v>1.34</v>
      </c>
      <c r="AB8" s="16">
        <v>46099.0</v>
      </c>
      <c r="AC8" s="17"/>
    </row>
    <row r="9" ht="14.25" customHeight="1">
      <c r="A9" s="7" t="s">
        <v>29</v>
      </c>
      <c r="B9" s="8" t="s">
        <v>30</v>
      </c>
      <c r="C9" s="8" t="s">
        <v>63</v>
      </c>
      <c r="D9" s="7" t="s">
        <v>59</v>
      </c>
      <c r="E9" s="7" t="s">
        <v>56</v>
      </c>
      <c r="F9" s="7">
        <v>1.0</v>
      </c>
      <c r="G9" s="7" t="s">
        <v>64</v>
      </c>
      <c r="H9" s="9">
        <v>30.322599</v>
      </c>
      <c r="I9" s="9">
        <v>-81.444294</v>
      </c>
      <c r="J9" s="7" t="s">
        <v>49</v>
      </c>
      <c r="K9" s="9" t="s">
        <v>50</v>
      </c>
      <c r="L9" s="10">
        <v>123362.61459405</v>
      </c>
      <c r="M9" s="10">
        <v>493450.46</v>
      </c>
      <c r="N9" s="11">
        <v>8.0</v>
      </c>
      <c r="O9" s="12">
        <v>64.0</v>
      </c>
      <c r="P9" s="12">
        <v>12.5</v>
      </c>
      <c r="Q9" s="12">
        <v>8.0</v>
      </c>
      <c r="R9" s="13" t="s">
        <v>38</v>
      </c>
      <c r="S9" s="13" t="s">
        <v>39</v>
      </c>
      <c r="T9" s="7">
        <f t="array" ref="T9">INDEX(Weeks, ROW(),1)/4</f>
        <v>0</v>
      </c>
      <c r="U9" s="14">
        <v>5840.0</v>
      </c>
      <c r="V9" s="14">
        <v>3500.0</v>
      </c>
      <c r="W9" s="14">
        <f t="shared" si="1"/>
        <v>4200</v>
      </c>
      <c r="X9" s="14">
        <v>0.0</v>
      </c>
      <c r="Y9" s="14">
        <v>0.0</v>
      </c>
      <c r="Z9" s="14">
        <v>21000.0</v>
      </c>
      <c r="AA9" s="15">
        <v>7.09</v>
      </c>
      <c r="AB9" s="16">
        <v>46099.0</v>
      </c>
      <c r="AC9" s="17"/>
    </row>
    <row r="10" ht="14.25" customHeight="1">
      <c r="A10" s="7" t="s">
        <v>29</v>
      </c>
      <c r="B10" s="8" t="s">
        <v>30</v>
      </c>
      <c r="C10" s="8" t="s">
        <v>65</v>
      </c>
      <c r="D10" s="7" t="s">
        <v>59</v>
      </c>
      <c r="E10" s="7" t="s">
        <v>56</v>
      </c>
      <c r="F10" s="7">
        <v>1.0</v>
      </c>
      <c r="G10" s="7" t="s">
        <v>66</v>
      </c>
      <c r="H10" s="9">
        <v>30.287349</v>
      </c>
      <c r="I10" s="9">
        <v>-81.559711</v>
      </c>
      <c r="J10" s="7" t="s">
        <v>35</v>
      </c>
      <c r="K10" s="9" t="s">
        <v>50</v>
      </c>
      <c r="L10" s="10">
        <v>176009.79412301</v>
      </c>
      <c r="M10" s="10">
        <v>704039.18</v>
      </c>
      <c r="N10" s="11">
        <v>8.0</v>
      </c>
      <c r="O10" s="12">
        <v>64.0</v>
      </c>
      <c r="P10" s="12">
        <v>12.5</v>
      </c>
      <c r="Q10" s="12">
        <v>8.0</v>
      </c>
      <c r="R10" s="13" t="s">
        <v>38</v>
      </c>
      <c r="S10" s="13" t="s">
        <v>39</v>
      </c>
      <c r="T10" s="7">
        <f t="array" ref="T10">INDEX(Weeks, ROW(),1)/4</f>
        <v>0</v>
      </c>
      <c r="U10" s="14">
        <v>5000.0</v>
      </c>
      <c r="V10" s="14">
        <v>3000.0</v>
      </c>
      <c r="W10" s="14">
        <f t="shared" si="1"/>
        <v>3600</v>
      </c>
      <c r="X10" s="14">
        <v>0.0</v>
      </c>
      <c r="Y10" s="14">
        <v>0.0</v>
      </c>
      <c r="Z10" s="14">
        <v>18000.0</v>
      </c>
      <c r="AA10" s="15">
        <v>4.26</v>
      </c>
      <c r="AB10" s="16">
        <v>46099.0</v>
      </c>
      <c r="AC10" s="17"/>
    </row>
    <row r="11" ht="14.25" customHeight="1">
      <c r="A11" s="7" t="s">
        <v>29</v>
      </c>
      <c r="B11" s="8" t="s">
        <v>30</v>
      </c>
      <c r="C11" s="8" t="s">
        <v>67</v>
      </c>
      <c r="D11" s="7" t="s">
        <v>55</v>
      </c>
      <c r="E11" s="7" t="s">
        <v>56</v>
      </c>
      <c r="F11" s="7">
        <v>1.0</v>
      </c>
      <c r="G11" s="7" t="s">
        <v>68</v>
      </c>
      <c r="H11" s="9">
        <v>30.283835</v>
      </c>
      <c r="I11" s="9">
        <v>-81.558605</v>
      </c>
      <c r="J11" s="7" t="s">
        <v>35</v>
      </c>
      <c r="K11" s="9" t="s">
        <v>46</v>
      </c>
      <c r="L11" s="10">
        <v>191420.25584907</v>
      </c>
      <c r="M11" s="10">
        <v>765681.02</v>
      </c>
      <c r="N11" s="11" t="s">
        <v>37</v>
      </c>
      <c r="O11" s="12"/>
      <c r="P11" s="12"/>
      <c r="Q11" s="12"/>
      <c r="R11" s="13" t="s">
        <v>38</v>
      </c>
      <c r="S11" s="13" t="s">
        <v>39</v>
      </c>
      <c r="T11" s="7">
        <f t="array" ref="T11">INDEX(Weeks, ROW(),1)/4</f>
        <v>0</v>
      </c>
      <c r="U11" s="14">
        <v>3920.0</v>
      </c>
      <c r="V11" s="14">
        <v>2515.0</v>
      </c>
      <c r="W11" s="14">
        <f t="shared" si="1"/>
        <v>3018</v>
      </c>
      <c r="X11" s="14">
        <v>672.0</v>
      </c>
      <c r="Y11" s="14">
        <v>0.0</v>
      </c>
      <c r="Z11" s="14">
        <v>15812.4</v>
      </c>
      <c r="AA11" s="15">
        <v>3.28</v>
      </c>
      <c r="AB11" s="16">
        <v>46087.0</v>
      </c>
      <c r="AC11" s="17"/>
    </row>
    <row r="12" ht="14.25" customHeight="1">
      <c r="A12" s="18" t="s">
        <v>29</v>
      </c>
      <c r="B12" s="19" t="s">
        <v>30</v>
      </c>
      <c r="C12" s="19" t="s">
        <v>69</v>
      </c>
      <c r="D12" s="7" t="s">
        <v>55</v>
      </c>
      <c r="E12" s="7" t="s">
        <v>56</v>
      </c>
      <c r="F12" s="7">
        <v>1.0</v>
      </c>
      <c r="G12" s="7" t="s">
        <v>70</v>
      </c>
      <c r="H12" s="9">
        <v>30.228482</v>
      </c>
      <c r="I12" s="9">
        <v>-81.590465</v>
      </c>
      <c r="J12" s="7" t="s">
        <v>53</v>
      </c>
      <c r="K12" s="9" t="s">
        <v>46</v>
      </c>
      <c r="L12" s="10">
        <v>154051.17633421</v>
      </c>
      <c r="M12" s="10">
        <v>616204.71</v>
      </c>
      <c r="N12" s="11" t="s">
        <v>37</v>
      </c>
      <c r="O12" s="12"/>
      <c r="P12" s="12"/>
      <c r="Q12" s="12"/>
      <c r="R12" s="13" t="s">
        <v>38</v>
      </c>
      <c r="S12" s="13" t="s">
        <v>39</v>
      </c>
      <c r="T12" s="7">
        <f t="array" ref="T12">INDEX(Weeks, ROW(),1)/4</f>
        <v>0</v>
      </c>
      <c r="U12" s="14">
        <v>4170.0</v>
      </c>
      <c r="V12" s="14">
        <v>2610.0</v>
      </c>
      <c r="W12" s="14">
        <f t="shared" si="1"/>
        <v>3132</v>
      </c>
      <c r="X12" s="14">
        <v>672.0</v>
      </c>
      <c r="Y12" s="14">
        <v>0.0</v>
      </c>
      <c r="Z12" s="14">
        <v>16382.4</v>
      </c>
      <c r="AA12" s="15">
        <v>4.24</v>
      </c>
      <c r="AB12" s="16">
        <v>46087.0</v>
      </c>
      <c r="AC12" s="17"/>
    </row>
    <row r="13" ht="14.25" customHeight="1">
      <c r="A13" s="18" t="s">
        <v>29</v>
      </c>
      <c r="B13" s="19" t="s">
        <v>30</v>
      </c>
      <c r="C13" s="19" t="s">
        <v>71</v>
      </c>
      <c r="D13" s="20" t="s">
        <v>55</v>
      </c>
      <c r="E13" s="20" t="s">
        <v>56</v>
      </c>
      <c r="F13" s="20">
        <v>1.0</v>
      </c>
      <c r="G13" s="20" t="s">
        <v>72</v>
      </c>
      <c r="H13" s="21">
        <v>30.288711</v>
      </c>
      <c r="I13" s="21">
        <v>-81.582377</v>
      </c>
      <c r="J13" s="20" t="s">
        <v>49</v>
      </c>
      <c r="K13" s="21" t="s">
        <v>46</v>
      </c>
      <c r="L13" s="22">
        <v>75281.634421352</v>
      </c>
      <c r="M13" s="10">
        <v>301126.54</v>
      </c>
      <c r="N13" s="23" t="s">
        <v>37</v>
      </c>
      <c r="O13" s="24"/>
      <c r="P13" s="24"/>
      <c r="Q13" s="24"/>
      <c r="R13" s="25" t="s">
        <v>38</v>
      </c>
      <c r="S13" s="25" t="s">
        <v>39</v>
      </c>
      <c r="T13" s="20">
        <f t="array" ref="T13">INDEX(Weeks, ROW(),1)/4</f>
        <v>0</v>
      </c>
      <c r="U13" s="26">
        <v>3340.0</v>
      </c>
      <c r="V13" s="26">
        <v>2140.0</v>
      </c>
      <c r="W13" s="14">
        <f t="shared" si="1"/>
        <v>2568</v>
      </c>
      <c r="X13" s="26">
        <v>672.0</v>
      </c>
      <c r="Y13" s="26">
        <v>0.0</v>
      </c>
      <c r="Z13" s="26">
        <v>13562.4</v>
      </c>
      <c r="AA13" s="27">
        <v>7.11</v>
      </c>
      <c r="AB13" s="28">
        <v>46087.0</v>
      </c>
      <c r="AC13" s="29"/>
    </row>
    <row r="14" ht="14.25" customHeight="1">
      <c r="A14" s="18" t="s">
        <v>29</v>
      </c>
      <c r="B14" s="19" t="s">
        <v>30</v>
      </c>
      <c r="C14" s="19" t="s">
        <v>73</v>
      </c>
      <c r="D14" s="20" t="s">
        <v>55</v>
      </c>
      <c r="E14" s="20" t="s">
        <v>56</v>
      </c>
      <c r="F14" s="20">
        <v>1.0</v>
      </c>
      <c r="G14" s="20" t="s">
        <v>74</v>
      </c>
      <c r="H14" s="21">
        <v>30.313519</v>
      </c>
      <c r="I14" s="21">
        <v>-81.581471</v>
      </c>
      <c r="J14" s="20" t="s">
        <v>45</v>
      </c>
      <c r="K14" s="21" t="s">
        <v>46</v>
      </c>
      <c r="L14" s="22">
        <v>127398.60510156</v>
      </c>
      <c r="M14" s="10">
        <v>509594.42</v>
      </c>
      <c r="N14" s="23" t="s">
        <v>37</v>
      </c>
      <c r="O14" s="24"/>
      <c r="P14" s="24"/>
      <c r="Q14" s="24"/>
      <c r="R14" s="25" t="s">
        <v>38</v>
      </c>
      <c r="S14" s="25" t="s">
        <v>39</v>
      </c>
      <c r="T14" s="20">
        <f t="array" ref="T14">INDEX(Weeks, ROW(),1)/4</f>
        <v>0</v>
      </c>
      <c r="U14" s="26">
        <v>1920.0</v>
      </c>
      <c r="V14" s="26">
        <v>1150.0</v>
      </c>
      <c r="W14" s="14">
        <f t="shared" si="1"/>
        <v>1380</v>
      </c>
      <c r="X14" s="26">
        <v>672.0</v>
      </c>
      <c r="Y14" s="26">
        <v>0.0</v>
      </c>
      <c r="Z14" s="26">
        <v>7622.4</v>
      </c>
      <c r="AA14" s="27">
        <v>2.26</v>
      </c>
      <c r="AB14" s="28">
        <v>46087.0</v>
      </c>
      <c r="AC14" s="29"/>
    </row>
    <row r="15" ht="14.25" customHeight="1">
      <c r="A15" s="18" t="s">
        <v>29</v>
      </c>
      <c r="B15" s="19" t="s">
        <v>30</v>
      </c>
      <c r="C15" s="19" t="s">
        <v>75</v>
      </c>
      <c r="D15" s="20" t="s">
        <v>55</v>
      </c>
      <c r="E15" s="20" t="s">
        <v>56</v>
      </c>
      <c r="F15" s="20">
        <v>1.0</v>
      </c>
      <c r="G15" s="20" t="s">
        <v>76</v>
      </c>
      <c r="H15" s="21">
        <v>30.265032</v>
      </c>
      <c r="I15" s="21">
        <v>-81.609733</v>
      </c>
      <c r="J15" s="20" t="s">
        <v>53</v>
      </c>
      <c r="K15" s="21" t="s">
        <v>46</v>
      </c>
      <c r="L15" s="22">
        <v>620532.23951373</v>
      </c>
      <c r="M15" s="10">
        <v>2482128.96</v>
      </c>
      <c r="N15" s="23" t="s">
        <v>37</v>
      </c>
      <c r="O15" s="24"/>
      <c r="P15" s="24"/>
      <c r="Q15" s="24"/>
      <c r="R15" s="25" t="s">
        <v>38</v>
      </c>
      <c r="S15" s="25" t="s">
        <v>39</v>
      </c>
      <c r="T15" s="20">
        <f t="array" ref="T15">INDEX(Weeks, ROW(),1)/4</f>
        <v>0</v>
      </c>
      <c r="U15" s="26">
        <v>7000.0</v>
      </c>
      <c r="V15" s="26">
        <v>4400.0</v>
      </c>
      <c r="W15" s="14">
        <f t="shared" si="1"/>
        <v>5280</v>
      </c>
      <c r="X15" s="26">
        <v>672.0</v>
      </c>
      <c r="Y15" s="26">
        <v>0.0</v>
      </c>
      <c r="Z15" s="26">
        <v>27122.4</v>
      </c>
      <c r="AA15" s="27">
        <v>1.77</v>
      </c>
      <c r="AB15" s="28">
        <v>46087.0</v>
      </c>
      <c r="AC15" s="29"/>
    </row>
    <row r="16" ht="14.25" customHeight="1">
      <c r="A16" s="18" t="s">
        <v>29</v>
      </c>
      <c r="B16" s="19" t="s">
        <v>30</v>
      </c>
      <c r="C16" s="19" t="s">
        <v>77</v>
      </c>
      <c r="D16" s="20" t="s">
        <v>59</v>
      </c>
      <c r="E16" s="20" t="s">
        <v>56</v>
      </c>
      <c r="F16" s="20">
        <v>1.0</v>
      </c>
      <c r="G16" s="20" t="s">
        <v>78</v>
      </c>
      <c r="H16" s="21">
        <v>30.218995</v>
      </c>
      <c r="I16" s="21">
        <v>-81.585167</v>
      </c>
      <c r="J16" s="20" t="s">
        <v>35</v>
      </c>
      <c r="K16" s="21" t="s">
        <v>50</v>
      </c>
      <c r="L16" s="22">
        <v>178819.95285755</v>
      </c>
      <c r="M16" s="10">
        <v>715279.81</v>
      </c>
      <c r="N16" s="23">
        <v>8.0</v>
      </c>
      <c r="O16" s="24">
        <v>64.0</v>
      </c>
      <c r="P16" s="24">
        <v>12.5</v>
      </c>
      <c r="Q16" s="24">
        <v>8.0</v>
      </c>
      <c r="R16" s="25" t="s">
        <v>38</v>
      </c>
      <c r="S16" s="25" t="s">
        <v>39</v>
      </c>
      <c r="T16" s="20">
        <f t="array" ref="T16">INDEX(Weeks, ROW(),1)/4</f>
        <v>0</v>
      </c>
      <c r="U16" s="26">
        <v>5840.0</v>
      </c>
      <c r="V16" s="26">
        <v>3500.0</v>
      </c>
      <c r="W16" s="14">
        <f t="shared" si="1"/>
        <v>4200</v>
      </c>
      <c r="X16" s="26">
        <v>0.0</v>
      </c>
      <c r="Y16" s="26">
        <v>0.0</v>
      </c>
      <c r="Z16" s="26">
        <v>21000.0</v>
      </c>
      <c r="AA16" s="27">
        <v>4.89</v>
      </c>
      <c r="AB16" s="28">
        <v>46099.0</v>
      </c>
      <c r="AC16" s="29"/>
    </row>
    <row r="17" ht="14.25" customHeight="1">
      <c r="A17" s="7" t="s">
        <v>29</v>
      </c>
      <c r="B17" s="8" t="s">
        <v>30</v>
      </c>
      <c r="C17" s="8" t="s">
        <v>79</v>
      </c>
      <c r="D17" s="7" t="s">
        <v>59</v>
      </c>
      <c r="E17" s="7" t="s">
        <v>56</v>
      </c>
      <c r="F17" s="7">
        <v>1.0</v>
      </c>
      <c r="G17" s="7" t="s">
        <v>80</v>
      </c>
      <c r="H17" s="9">
        <v>30.272191</v>
      </c>
      <c r="I17" s="9">
        <v>-81.613652</v>
      </c>
      <c r="J17" s="7" t="s">
        <v>53</v>
      </c>
      <c r="K17" s="9" t="s">
        <v>50</v>
      </c>
      <c r="L17" s="10">
        <v>486723.00547192</v>
      </c>
      <c r="M17" s="10">
        <v>1946892.02</v>
      </c>
      <c r="N17" s="11">
        <v>8.0</v>
      </c>
      <c r="O17" s="12">
        <v>64.0</v>
      </c>
      <c r="P17" s="12">
        <v>12.5</v>
      </c>
      <c r="Q17" s="12">
        <v>8.0</v>
      </c>
      <c r="R17" s="13" t="s">
        <v>38</v>
      </c>
      <c r="S17" s="13" t="s">
        <v>39</v>
      </c>
      <c r="T17" s="7">
        <f t="array" ref="T17">INDEX(Weeks, ROW(),1)/4</f>
        <v>0</v>
      </c>
      <c r="U17" s="14">
        <v>6670.0</v>
      </c>
      <c r="V17" s="14">
        <v>4000.0</v>
      </c>
      <c r="W17" s="14">
        <f t="shared" si="1"/>
        <v>4800</v>
      </c>
      <c r="X17" s="14">
        <v>0.0</v>
      </c>
      <c r="Y17" s="14">
        <v>0.0</v>
      </c>
      <c r="Z17" s="14">
        <v>24000.0</v>
      </c>
      <c r="AA17" s="15">
        <v>2.05</v>
      </c>
      <c r="AB17" s="16">
        <v>46099.0</v>
      </c>
      <c r="AC17" s="17"/>
    </row>
    <row r="18" ht="14.25" customHeight="1">
      <c r="A18" s="7" t="s">
        <v>29</v>
      </c>
      <c r="B18" s="8" t="s">
        <v>30</v>
      </c>
      <c r="C18" s="8" t="s">
        <v>81</v>
      </c>
      <c r="D18" s="7" t="s">
        <v>55</v>
      </c>
      <c r="E18" s="7" t="s">
        <v>56</v>
      </c>
      <c r="F18" s="7">
        <v>1.0</v>
      </c>
      <c r="G18" s="7" t="s">
        <v>82</v>
      </c>
      <c r="H18" s="9">
        <v>30.284331</v>
      </c>
      <c r="I18" s="9">
        <v>-81.559665</v>
      </c>
      <c r="J18" s="7" t="s">
        <v>53</v>
      </c>
      <c r="K18" s="9" t="s">
        <v>46</v>
      </c>
      <c r="L18" s="10">
        <v>145142.78487009</v>
      </c>
      <c r="M18" s="10">
        <v>580571.14</v>
      </c>
      <c r="N18" s="11" t="s">
        <v>37</v>
      </c>
      <c r="O18" s="12"/>
      <c r="P18" s="12"/>
      <c r="Q18" s="12"/>
      <c r="R18" s="13" t="s">
        <v>38</v>
      </c>
      <c r="S18" s="13" t="s">
        <v>39</v>
      </c>
      <c r="T18" s="7">
        <f t="array" ref="T18">INDEX(Weeks, ROW(),1)/4</f>
        <v>0</v>
      </c>
      <c r="U18" s="14">
        <v>4670.0</v>
      </c>
      <c r="V18" s="14">
        <v>2995.0</v>
      </c>
      <c r="W18" s="14">
        <f t="shared" si="1"/>
        <v>3594</v>
      </c>
      <c r="X18" s="14">
        <v>672.0</v>
      </c>
      <c r="Y18" s="14">
        <v>0.0</v>
      </c>
      <c r="Z18" s="14">
        <v>18692.4</v>
      </c>
      <c r="AA18" s="15">
        <v>5.16</v>
      </c>
      <c r="AB18" s="16">
        <v>46087.0</v>
      </c>
      <c r="AC18" s="17"/>
    </row>
    <row r="19" ht="14.25" customHeight="1">
      <c r="A19" s="7" t="s">
        <v>29</v>
      </c>
      <c r="B19" s="8" t="s">
        <v>30</v>
      </c>
      <c r="C19" s="8" t="s">
        <v>83</v>
      </c>
      <c r="D19" s="7" t="s">
        <v>59</v>
      </c>
      <c r="E19" s="7" t="s">
        <v>56</v>
      </c>
      <c r="F19" s="7">
        <v>1.0</v>
      </c>
      <c r="G19" s="7" t="s">
        <v>84</v>
      </c>
      <c r="H19" s="9">
        <v>30.287399</v>
      </c>
      <c r="I19" s="9">
        <v>-81.447431</v>
      </c>
      <c r="J19" s="7" t="s">
        <v>45</v>
      </c>
      <c r="K19" s="9" t="s">
        <v>50</v>
      </c>
      <c r="L19" s="10">
        <v>120673.50778068</v>
      </c>
      <c r="M19" s="10">
        <v>482694.03</v>
      </c>
      <c r="N19" s="11">
        <v>8.0</v>
      </c>
      <c r="O19" s="12">
        <v>64.0</v>
      </c>
      <c r="P19" s="12">
        <v>12.5</v>
      </c>
      <c r="Q19" s="12">
        <v>8.0</v>
      </c>
      <c r="R19" s="13" t="s">
        <v>38</v>
      </c>
      <c r="S19" s="13" t="s">
        <v>39</v>
      </c>
      <c r="T19" s="7">
        <f t="array" ref="T19">INDEX(Weeks, ROW(),1)/4</f>
        <v>0</v>
      </c>
      <c r="U19" s="14">
        <v>5840.0</v>
      </c>
      <c r="V19" s="14">
        <v>3500.0</v>
      </c>
      <c r="W19" s="14">
        <f t="shared" si="1"/>
        <v>4200</v>
      </c>
      <c r="X19" s="14">
        <v>0.0</v>
      </c>
      <c r="Y19" s="14">
        <v>0.0</v>
      </c>
      <c r="Z19" s="14">
        <v>21000.0</v>
      </c>
      <c r="AA19" s="15">
        <v>7.25</v>
      </c>
      <c r="AB19" s="16">
        <v>46099.0</v>
      </c>
      <c r="AC19" s="17"/>
    </row>
    <row r="20" ht="14.25" customHeight="1">
      <c r="A20" s="18" t="s">
        <v>29</v>
      </c>
      <c r="B20" s="19" t="s">
        <v>30</v>
      </c>
      <c r="C20" s="19" t="s">
        <v>85</v>
      </c>
      <c r="D20" s="20" t="s">
        <v>55</v>
      </c>
      <c r="E20" s="20" t="s">
        <v>56</v>
      </c>
      <c r="F20" s="20">
        <v>1.0</v>
      </c>
      <c r="G20" s="20" t="s">
        <v>86</v>
      </c>
      <c r="H20" s="21">
        <v>30.171707</v>
      </c>
      <c r="I20" s="21">
        <v>-81.61087</v>
      </c>
      <c r="J20" s="20" t="s">
        <v>45</v>
      </c>
      <c r="K20" s="21" t="s">
        <v>46</v>
      </c>
      <c r="L20" s="22">
        <v>301026.17269195</v>
      </c>
      <c r="M20" s="10">
        <v>1204104.69</v>
      </c>
      <c r="N20" s="23" t="s">
        <v>37</v>
      </c>
      <c r="O20" s="24"/>
      <c r="P20" s="24"/>
      <c r="Q20" s="24"/>
      <c r="R20" s="25" t="s">
        <v>38</v>
      </c>
      <c r="S20" s="25" t="s">
        <v>39</v>
      </c>
      <c r="T20" s="20">
        <f t="array" ref="T20">INDEX(Weeks, ROW(),1)/4</f>
        <v>0</v>
      </c>
      <c r="U20" s="26">
        <v>8000.0</v>
      </c>
      <c r="V20" s="26">
        <v>5030.0</v>
      </c>
      <c r="W20" s="14">
        <f t="shared" si="1"/>
        <v>6036</v>
      </c>
      <c r="X20" s="26">
        <v>672.0</v>
      </c>
      <c r="Y20" s="26">
        <v>0.0</v>
      </c>
      <c r="Z20" s="26">
        <v>30902.4</v>
      </c>
      <c r="AA20" s="27">
        <v>4.18</v>
      </c>
      <c r="AB20" s="28">
        <v>46087.0</v>
      </c>
      <c r="AC20" s="29"/>
    </row>
    <row r="21" ht="14.25" customHeight="1">
      <c r="A21" s="18" t="s">
        <v>29</v>
      </c>
      <c r="B21" s="19" t="s">
        <v>30</v>
      </c>
      <c r="C21" s="19" t="s">
        <v>87</v>
      </c>
      <c r="D21" s="20" t="s">
        <v>59</v>
      </c>
      <c r="E21" s="20" t="s">
        <v>56</v>
      </c>
      <c r="F21" s="20">
        <v>1.0</v>
      </c>
      <c r="G21" s="20" t="s">
        <v>88</v>
      </c>
      <c r="H21" s="21">
        <v>30.168245</v>
      </c>
      <c r="I21" s="21">
        <v>-81.600905</v>
      </c>
      <c r="J21" s="20" t="s">
        <v>45</v>
      </c>
      <c r="K21" s="21" t="s">
        <v>50</v>
      </c>
      <c r="L21" s="22">
        <v>735972.74216346</v>
      </c>
      <c r="M21" s="10">
        <v>2943890.97</v>
      </c>
      <c r="N21" s="23">
        <v>8.0</v>
      </c>
      <c r="O21" s="24">
        <v>64.0</v>
      </c>
      <c r="P21" s="24">
        <v>12.5</v>
      </c>
      <c r="Q21" s="24">
        <v>8.0</v>
      </c>
      <c r="R21" s="25" t="s">
        <v>38</v>
      </c>
      <c r="S21" s="25" t="s">
        <v>39</v>
      </c>
      <c r="T21" s="20">
        <f t="array" ref="T21">INDEX(Weeks, ROW(),1)/4</f>
        <v>0</v>
      </c>
      <c r="U21" s="26">
        <v>6670.0</v>
      </c>
      <c r="V21" s="26">
        <v>4000.0</v>
      </c>
      <c r="W21" s="14">
        <f t="shared" si="1"/>
        <v>4800</v>
      </c>
      <c r="X21" s="26">
        <v>0.0</v>
      </c>
      <c r="Y21" s="26">
        <v>0.0</v>
      </c>
      <c r="Z21" s="26">
        <v>24000.0</v>
      </c>
      <c r="AA21" s="27">
        <v>1.36</v>
      </c>
      <c r="AB21" s="28">
        <v>46099.0</v>
      </c>
      <c r="AC21" s="29"/>
    </row>
    <row r="22" ht="14.25" customHeight="1">
      <c r="A22" s="18" t="s">
        <v>29</v>
      </c>
      <c r="B22" s="19" t="s">
        <v>30</v>
      </c>
      <c r="C22" s="19" t="s">
        <v>89</v>
      </c>
      <c r="D22" s="20" t="s">
        <v>55</v>
      </c>
      <c r="E22" s="20" t="s">
        <v>56</v>
      </c>
      <c r="F22" s="20">
        <v>1.0</v>
      </c>
      <c r="G22" s="20" t="s">
        <v>90</v>
      </c>
      <c r="H22" s="21">
        <v>30.313586</v>
      </c>
      <c r="I22" s="21">
        <v>-81.573087</v>
      </c>
      <c r="J22" s="20" t="s">
        <v>49</v>
      </c>
      <c r="K22" s="21" t="s">
        <v>46</v>
      </c>
      <c r="L22" s="22">
        <v>196115.43428887</v>
      </c>
      <c r="M22" s="10">
        <v>784461.74</v>
      </c>
      <c r="N22" s="23" t="s">
        <v>37</v>
      </c>
      <c r="O22" s="24"/>
      <c r="P22" s="24"/>
      <c r="Q22" s="24"/>
      <c r="R22" s="25" t="s">
        <v>38</v>
      </c>
      <c r="S22" s="25" t="s">
        <v>39</v>
      </c>
      <c r="T22" s="20">
        <f t="array" ref="T22">INDEX(Weeks, ROW(),1)/4</f>
        <v>0</v>
      </c>
      <c r="U22" s="26">
        <v>4000.0</v>
      </c>
      <c r="V22" s="26">
        <v>2400.0</v>
      </c>
      <c r="W22" s="14">
        <f t="shared" si="1"/>
        <v>2880</v>
      </c>
      <c r="X22" s="26">
        <v>672.0</v>
      </c>
      <c r="Y22" s="26">
        <v>0.0</v>
      </c>
      <c r="Z22" s="26">
        <v>15122.4</v>
      </c>
      <c r="AA22" s="27">
        <v>3.06</v>
      </c>
      <c r="AB22" s="28">
        <v>46087.0</v>
      </c>
      <c r="AC22" s="29"/>
    </row>
    <row r="23" ht="14.25" customHeight="1">
      <c r="A23" s="7" t="s">
        <v>29</v>
      </c>
      <c r="B23" s="8" t="s">
        <v>30</v>
      </c>
      <c r="C23" s="8" t="s">
        <v>91</v>
      </c>
      <c r="D23" s="7" t="s">
        <v>55</v>
      </c>
      <c r="E23" s="7" t="s">
        <v>56</v>
      </c>
      <c r="F23" s="7">
        <v>1.0</v>
      </c>
      <c r="G23" s="7" t="s">
        <v>92</v>
      </c>
      <c r="H23" s="9">
        <v>30.287584</v>
      </c>
      <c r="I23" s="9">
        <v>-81.50002</v>
      </c>
      <c r="J23" s="7" t="s">
        <v>45</v>
      </c>
      <c r="K23" s="9" t="s">
        <v>46</v>
      </c>
      <c r="L23" s="10">
        <v>134781.47100875</v>
      </c>
      <c r="M23" s="10">
        <v>539125.88</v>
      </c>
      <c r="N23" s="11" t="s">
        <v>37</v>
      </c>
      <c r="O23" s="12"/>
      <c r="P23" s="12"/>
      <c r="Q23" s="12"/>
      <c r="R23" s="13" t="s">
        <v>38</v>
      </c>
      <c r="S23" s="13" t="s">
        <v>39</v>
      </c>
      <c r="T23" s="7">
        <f t="array" ref="T23">INDEX(Weeks, ROW(),1)/4</f>
        <v>0</v>
      </c>
      <c r="U23" s="14">
        <v>5170.0</v>
      </c>
      <c r="V23" s="14">
        <v>3305.0</v>
      </c>
      <c r="W23" s="14">
        <f t="shared" si="1"/>
        <v>3966</v>
      </c>
      <c r="X23" s="14">
        <v>672.0</v>
      </c>
      <c r="Y23" s="14">
        <v>0.0</v>
      </c>
      <c r="Z23" s="14">
        <v>20552.4</v>
      </c>
      <c r="AA23" s="15">
        <v>6.13</v>
      </c>
      <c r="AB23" s="16">
        <v>46087.0</v>
      </c>
      <c r="AC23" s="17"/>
    </row>
    <row r="24" ht="14.25" customHeight="1">
      <c r="A24" s="7" t="s">
        <v>29</v>
      </c>
      <c r="B24" s="8" t="s">
        <v>30</v>
      </c>
      <c r="C24" s="8" t="s">
        <v>93</v>
      </c>
      <c r="D24" s="7" t="s">
        <v>55</v>
      </c>
      <c r="E24" s="7" t="s">
        <v>56</v>
      </c>
      <c r="F24" s="7">
        <v>1.0</v>
      </c>
      <c r="G24" s="7" t="s">
        <v>94</v>
      </c>
      <c r="H24" s="9">
        <v>30.209291</v>
      </c>
      <c r="I24" s="9">
        <v>-81.579487</v>
      </c>
      <c r="J24" s="7" t="s">
        <v>53</v>
      </c>
      <c r="K24" s="9" t="s">
        <v>46</v>
      </c>
      <c r="L24" s="10">
        <v>97094.665120301</v>
      </c>
      <c r="M24" s="10">
        <v>388378.66</v>
      </c>
      <c r="N24" s="11" t="s">
        <v>37</v>
      </c>
      <c r="O24" s="12"/>
      <c r="P24" s="12"/>
      <c r="Q24" s="12"/>
      <c r="R24" s="13" t="s">
        <v>38</v>
      </c>
      <c r="S24" s="13" t="s">
        <v>39</v>
      </c>
      <c r="T24" s="7">
        <f t="array" ref="T24">INDEX(Weeks, ROW(),1)/4</f>
        <v>0</v>
      </c>
      <c r="U24" s="14">
        <v>3250.0</v>
      </c>
      <c r="V24" s="14">
        <v>2040.0</v>
      </c>
      <c r="W24" s="14">
        <f t="shared" si="1"/>
        <v>2448</v>
      </c>
      <c r="X24" s="14">
        <v>672.0</v>
      </c>
      <c r="Y24" s="14">
        <v>0.0</v>
      </c>
      <c r="Z24" s="14">
        <v>12962.4</v>
      </c>
      <c r="AA24" s="15">
        <v>5.25</v>
      </c>
      <c r="AB24" s="16">
        <v>46087.0</v>
      </c>
      <c r="AC24" s="17"/>
    </row>
    <row r="25" ht="14.25" customHeight="1">
      <c r="A25" s="7" t="s">
        <v>29</v>
      </c>
      <c r="B25" s="8" t="s">
        <v>30</v>
      </c>
      <c r="C25" s="8" t="s">
        <v>95</v>
      </c>
      <c r="D25" s="7" t="s">
        <v>59</v>
      </c>
      <c r="E25" s="7" t="s">
        <v>56</v>
      </c>
      <c r="F25" s="7">
        <v>1.0</v>
      </c>
      <c r="G25" s="7" t="s">
        <v>96</v>
      </c>
      <c r="H25" s="9">
        <v>30.177087</v>
      </c>
      <c r="I25" s="9">
        <v>-81.550025</v>
      </c>
      <c r="J25" s="7" t="s">
        <v>53</v>
      </c>
      <c r="K25" s="9" t="s">
        <v>50</v>
      </c>
      <c r="L25" s="10">
        <v>291186.20329714</v>
      </c>
      <c r="M25" s="10">
        <v>1164744.81</v>
      </c>
      <c r="N25" s="11">
        <v>8.0</v>
      </c>
      <c r="O25" s="12">
        <v>64.0</v>
      </c>
      <c r="P25" s="12">
        <v>12.5</v>
      </c>
      <c r="Q25" s="12">
        <v>8.0</v>
      </c>
      <c r="R25" s="13" t="s">
        <v>38</v>
      </c>
      <c r="S25" s="13" t="s">
        <v>39</v>
      </c>
      <c r="T25" s="7">
        <f t="array" ref="T25">INDEX(Weeks, ROW(),1)/4</f>
        <v>0</v>
      </c>
      <c r="U25" s="14">
        <v>5000.0</v>
      </c>
      <c r="V25" s="14">
        <v>3000.0</v>
      </c>
      <c r="W25" s="14">
        <f t="shared" si="1"/>
        <v>3600</v>
      </c>
      <c r="X25" s="14">
        <v>0.0</v>
      </c>
      <c r="Y25" s="14">
        <v>0.0</v>
      </c>
      <c r="Z25" s="14">
        <v>18000.0</v>
      </c>
      <c r="AA25" s="15">
        <v>2.58</v>
      </c>
      <c r="AB25" s="16">
        <v>46099.0</v>
      </c>
      <c r="AC25" s="17"/>
    </row>
    <row r="26" ht="14.25" customHeight="1">
      <c r="A26" s="7" t="s">
        <v>29</v>
      </c>
      <c r="B26" s="8" t="s">
        <v>30</v>
      </c>
      <c r="C26" s="8" t="s">
        <v>97</v>
      </c>
      <c r="D26" s="7" t="s">
        <v>59</v>
      </c>
      <c r="E26" s="7" t="s">
        <v>56</v>
      </c>
      <c r="F26" s="7">
        <v>1.0</v>
      </c>
      <c r="G26" s="7" t="s">
        <v>98</v>
      </c>
      <c r="H26" s="9">
        <v>30.131439</v>
      </c>
      <c r="I26" s="9">
        <v>-81.505407</v>
      </c>
      <c r="J26" s="7" t="s">
        <v>53</v>
      </c>
      <c r="K26" s="9" t="s">
        <v>50</v>
      </c>
      <c r="L26" s="10">
        <v>318380.71658744</v>
      </c>
      <c r="M26" s="10">
        <v>1273522.87</v>
      </c>
      <c r="N26" s="11">
        <v>8.0</v>
      </c>
      <c r="O26" s="12">
        <v>64.0</v>
      </c>
      <c r="P26" s="12">
        <v>12.5</v>
      </c>
      <c r="Q26" s="12">
        <v>8.0</v>
      </c>
      <c r="R26" s="13" t="s">
        <v>38</v>
      </c>
      <c r="S26" s="13" t="s">
        <v>39</v>
      </c>
      <c r="T26" s="7">
        <f t="array" ref="T26">INDEX(Weeks, ROW(),1)/4</f>
        <v>0</v>
      </c>
      <c r="U26" s="14">
        <v>4920.0</v>
      </c>
      <c r="V26" s="14">
        <v>2950.0</v>
      </c>
      <c r="W26" s="14">
        <f t="shared" si="1"/>
        <v>3540</v>
      </c>
      <c r="X26" s="14">
        <v>0.0</v>
      </c>
      <c r="Y26" s="14">
        <v>0.0</v>
      </c>
      <c r="Z26" s="14">
        <v>17700.0</v>
      </c>
      <c r="AA26" s="15">
        <v>2.32</v>
      </c>
      <c r="AB26" s="16">
        <v>46099.0</v>
      </c>
      <c r="AC26" s="17"/>
    </row>
    <row r="27" ht="14.25" customHeight="1">
      <c r="A27" s="7" t="s">
        <v>29</v>
      </c>
      <c r="B27" s="8" t="s">
        <v>30</v>
      </c>
      <c r="C27" s="8" t="s">
        <v>99</v>
      </c>
      <c r="D27" s="7" t="s">
        <v>55</v>
      </c>
      <c r="E27" s="7" t="s">
        <v>56</v>
      </c>
      <c r="F27" s="7">
        <v>1.0</v>
      </c>
      <c r="G27" s="7" t="s">
        <v>100</v>
      </c>
      <c r="H27" s="9">
        <v>30.285854</v>
      </c>
      <c r="I27" s="9">
        <v>-81.525263</v>
      </c>
      <c r="J27" s="7" t="s">
        <v>35</v>
      </c>
      <c r="K27" s="9" t="s">
        <v>46</v>
      </c>
      <c r="L27" s="10">
        <v>298027.64413734</v>
      </c>
      <c r="M27" s="10">
        <v>1192110.58</v>
      </c>
      <c r="N27" s="11" t="s">
        <v>37</v>
      </c>
      <c r="O27" s="12"/>
      <c r="P27" s="12"/>
      <c r="Q27" s="12"/>
      <c r="R27" s="13" t="s">
        <v>38</v>
      </c>
      <c r="S27" s="13" t="s">
        <v>39</v>
      </c>
      <c r="T27" s="7">
        <f t="array" ref="T27">INDEX(Weeks, ROW(),1)/4</f>
        <v>0</v>
      </c>
      <c r="U27" s="14">
        <v>4670.0</v>
      </c>
      <c r="V27" s="14">
        <v>2995.0</v>
      </c>
      <c r="W27" s="14">
        <f t="shared" si="1"/>
        <v>3594</v>
      </c>
      <c r="X27" s="14">
        <v>672.0</v>
      </c>
      <c r="Y27" s="14">
        <v>0.0</v>
      </c>
      <c r="Z27" s="14">
        <v>18692.4</v>
      </c>
      <c r="AA27" s="15">
        <v>2.51</v>
      </c>
      <c r="AB27" s="16">
        <v>46087.0</v>
      </c>
      <c r="AC27" s="17"/>
    </row>
    <row r="28" ht="14.25" customHeight="1">
      <c r="A28" s="7" t="s">
        <v>29</v>
      </c>
      <c r="B28" s="8" t="s">
        <v>30</v>
      </c>
      <c r="C28" s="8" t="s">
        <v>101</v>
      </c>
      <c r="D28" s="7" t="s">
        <v>55</v>
      </c>
      <c r="E28" s="7" t="s">
        <v>56</v>
      </c>
      <c r="F28" s="7">
        <v>1.0</v>
      </c>
      <c r="G28" s="7" t="s">
        <v>102</v>
      </c>
      <c r="H28" s="9">
        <v>30.287128</v>
      </c>
      <c r="I28" s="9">
        <v>-81.54319</v>
      </c>
      <c r="J28" s="7" t="s">
        <v>49</v>
      </c>
      <c r="K28" s="9" t="s">
        <v>50</v>
      </c>
      <c r="L28" s="10">
        <v>194696.17447778</v>
      </c>
      <c r="M28" s="10">
        <v>778784.7</v>
      </c>
      <c r="N28" s="11" t="s">
        <v>37</v>
      </c>
      <c r="O28" s="12"/>
      <c r="P28" s="12"/>
      <c r="Q28" s="12"/>
      <c r="R28" s="13" t="s">
        <v>38</v>
      </c>
      <c r="S28" s="13" t="s">
        <v>39</v>
      </c>
      <c r="T28" s="7">
        <f t="array" ref="T28">INDEX(Weeks, ROW(),1)/4</f>
        <v>0</v>
      </c>
      <c r="U28" s="14">
        <v>5000.0</v>
      </c>
      <c r="V28" s="14">
        <v>3000.0</v>
      </c>
      <c r="W28" s="14">
        <f t="shared" si="1"/>
        <v>3600</v>
      </c>
      <c r="X28" s="14">
        <v>672.0</v>
      </c>
      <c r="Y28" s="14">
        <v>0.0</v>
      </c>
      <c r="Z28" s="14">
        <v>18722.4</v>
      </c>
      <c r="AA28" s="15">
        <v>3.85</v>
      </c>
      <c r="AB28" s="16">
        <v>46087.0</v>
      </c>
      <c r="AC28" s="17"/>
    </row>
    <row r="29" ht="14.25" customHeight="1">
      <c r="A29" s="7" t="s">
        <v>29</v>
      </c>
      <c r="B29" s="8" t="s">
        <v>30</v>
      </c>
      <c r="C29" s="8" t="s">
        <v>103</v>
      </c>
      <c r="D29" s="7" t="s">
        <v>55</v>
      </c>
      <c r="E29" s="7" t="s">
        <v>56</v>
      </c>
      <c r="F29" s="7">
        <v>1.0</v>
      </c>
      <c r="G29" s="7" t="s">
        <v>104</v>
      </c>
      <c r="H29" s="9">
        <v>30.289988</v>
      </c>
      <c r="I29" s="9">
        <v>-81.588592</v>
      </c>
      <c r="J29" s="7" t="s">
        <v>45</v>
      </c>
      <c r="K29" s="9" t="s">
        <v>46</v>
      </c>
      <c r="L29" s="10">
        <v>88468.164090172</v>
      </c>
      <c r="M29" s="10">
        <v>353872.66</v>
      </c>
      <c r="N29" s="11" t="s">
        <v>37</v>
      </c>
      <c r="O29" s="12"/>
      <c r="P29" s="12"/>
      <c r="Q29" s="12"/>
      <c r="R29" s="13" t="s">
        <v>38</v>
      </c>
      <c r="S29" s="13" t="s">
        <v>39</v>
      </c>
      <c r="T29" s="7">
        <f t="array" ref="T29">INDEX(Weeks, ROW(),1)/4</f>
        <v>0</v>
      </c>
      <c r="U29" s="14">
        <v>2000.0</v>
      </c>
      <c r="V29" s="14">
        <v>1200.0</v>
      </c>
      <c r="W29" s="14">
        <f t="shared" si="1"/>
        <v>1440</v>
      </c>
      <c r="X29" s="14">
        <v>672.0</v>
      </c>
      <c r="Y29" s="14">
        <v>0.0</v>
      </c>
      <c r="Z29" s="14">
        <v>7922.4</v>
      </c>
      <c r="AA29" s="15">
        <v>3.39</v>
      </c>
      <c r="AB29" s="16">
        <v>46087.0</v>
      </c>
      <c r="AC29" s="17"/>
    </row>
    <row r="30" ht="14.25" customHeight="1">
      <c r="A30" s="7" t="s">
        <v>29</v>
      </c>
      <c r="B30" s="8" t="s">
        <v>30</v>
      </c>
      <c r="C30" s="8" t="s">
        <v>105</v>
      </c>
      <c r="D30" s="7" t="s">
        <v>59</v>
      </c>
      <c r="E30" s="7" t="s">
        <v>56</v>
      </c>
      <c r="F30" s="7">
        <v>1.0</v>
      </c>
      <c r="G30" s="7" t="s">
        <v>106</v>
      </c>
      <c r="H30" s="9">
        <v>30.168751</v>
      </c>
      <c r="I30" s="9">
        <v>-81.534073</v>
      </c>
      <c r="J30" s="7" t="s">
        <v>45</v>
      </c>
      <c r="K30" s="9" t="s">
        <v>50</v>
      </c>
      <c r="L30" s="10">
        <v>53336.681084375</v>
      </c>
      <c r="M30" s="10">
        <v>213346.72</v>
      </c>
      <c r="N30" s="11">
        <v>8.0</v>
      </c>
      <c r="O30" s="12">
        <v>64.0</v>
      </c>
      <c r="P30" s="12">
        <v>12.5</v>
      </c>
      <c r="Q30" s="12">
        <v>8.0</v>
      </c>
      <c r="R30" s="13" t="s">
        <v>38</v>
      </c>
      <c r="S30" s="13" t="s">
        <v>39</v>
      </c>
      <c r="T30" s="7">
        <f t="array" ref="T30">INDEX(Weeks, ROW(),1)/4</f>
        <v>0</v>
      </c>
      <c r="U30" s="14">
        <v>5000.0</v>
      </c>
      <c r="V30" s="14">
        <v>3000.0</v>
      </c>
      <c r="W30" s="14">
        <f t="shared" si="1"/>
        <v>3600</v>
      </c>
      <c r="X30" s="14">
        <v>0.0</v>
      </c>
      <c r="Y30" s="14">
        <v>0.0</v>
      </c>
      <c r="Z30" s="14">
        <v>18000.0</v>
      </c>
      <c r="AA30" s="15">
        <v>14.06</v>
      </c>
      <c r="AB30" s="16">
        <v>46099.0</v>
      </c>
      <c r="AC30" s="17"/>
    </row>
    <row r="31" ht="14.25" customHeight="1">
      <c r="A31" s="18" t="s">
        <v>29</v>
      </c>
      <c r="B31" s="19" t="s">
        <v>30</v>
      </c>
      <c r="C31" s="19" t="s">
        <v>107</v>
      </c>
      <c r="D31" s="20" t="s">
        <v>59</v>
      </c>
      <c r="E31" s="20" t="s">
        <v>56</v>
      </c>
      <c r="F31" s="20">
        <v>1.0</v>
      </c>
      <c r="G31" s="20" t="s">
        <v>108</v>
      </c>
      <c r="H31" s="21">
        <v>30.345134</v>
      </c>
      <c r="I31" s="21">
        <v>-81.54604</v>
      </c>
      <c r="J31" s="20" t="s">
        <v>53</v>
      </c>
      <c r="K31" s="21" t="s">
        <v>50</v>
      </c>
      <c r="L31" s="22">
        <v>89984.094686117</v>
      </c>
      <c r="M31" s="10">
        <v>359936.38</v>
      </c>
      <c r="N31" s="23">
        <v>8.0</v>
      </c>
      <c r="O31" s="24">
        <v>64.0</v>
      </c>
      <c r="P31" s="24">
        <v>12.5</v>
      </c>
      <c r="Q31" s="24">
        <v>8.0</v>
      </c>
      <c r="R31" s="25" t="s">
        <v>38</v>
      </c>
      <c r="S31" s="25" t="s">
        <v>39</v>
      </c>
      <c r="T31" s="20">
        <f t="array" ref="T31">INDEX(Weeks, ROW(),1)/4</f>
        <v>0</v>
      </c>
      <c r="U31" s="26">
        <v>5840.0</v>
      </c>
      <c r="V31" s="26">
        <v>3500.0</v>
      </c>
      <c r="W31" s="14">
        <f t="shared" si="1"/>
        <v>4200</v>
      </c>
      <c r="X31" s="26">
        <v>0.0</v>
      </c>
      <c r="Y31" s="26">
        <v>0.0</v>
      </c>
      <c r="Z31" s="26">
        <v>21000.0</v>
      </c>
      <c r="AA31" s="27">
        <v>9.72</v>
      </c>
      <c r="AB31" s="28">
        <v>46099.0</v>
      </c>
      <c r="AC31" s="29"/>
    </row>
    <row r="32" ht="14.2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3"/>
    </row>
    <row r="33" ht="14.2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3"/>
    </row>
    <row r="34" ht="14.2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3"/>
    </row>
    <row r="35" ht="14.2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3"/>
    </row>
    <row r="36" ht="14.2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3"/>
    </row>
    <row r="37" ht="14.2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3"/>
    </row>
    <row r="38" ht="14.2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3"/>
    </row>
    <row r="39" ht="14.2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3"/>
    </row>
    <row r="40" ht="14.2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3"/>
    </row>
    <row r="41" ht="14.2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3"/>
    </row>
    <row r="42" ht="14.2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3"/>
    </row>
    <row r="43" ht="14.2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3"/>
    </row>
    <row r="44" ht="14.2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3"/>
    </row>
    <row r="45" ht="14.2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3"/>
    </row>
    <row r="46" ht="14.2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3"/>
    </row>
    <row r="47" ht="14.2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3"/>
    </row>
    <row r="48" ht="14.2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3"/>
    </row>
    <row r="49" ht="14.2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3"/>
    </row>
    <row r="50" ht="14.2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3"/>
    </row>
    <row r="51" ht="14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3"/>
    </row>
    <row r="52" ht="14.2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3"/>
    </row>
    <row r="53" ht="14.2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3"/>
    </row>
    <row r="54" ht="14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3"/>
    </row>
    <row r="55" ht="14.2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3"/>
    </row>
    <row r="5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3"/>
    </row>
    <row r="57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3"/>
    </row>
    <row r="58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3"/>
    </row>
    <row r="59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3"/>
    </row>
    <row r="60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3"/>
    </row>
    <row r="61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3"/>
    </row>
    <row r="62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3"/>
    </row>
    <row r="63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3"/>
    </row>
    <row r="64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3"/>
    </row>
    <row r="65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3"/>
    </row>
    <row r="6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3"/>
    </row>
    <row r="67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3"/>
    </row>
    <row r="68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3"/>
    </row>
    <row r="69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3"/>
    </row>
    <row r="70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3"/>
    </row>
    <row r="71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3"/>
    </row>
    <row r="72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3"/>
    </row>
    <row r="73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3"/>
    </row>
    <row r="74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3"/>
    </row>
    <row r="75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3"/>
    </row>
    <row r="76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3"/>
    </row>
    <row r="77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3"/>
    </row>
    <row r="78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3"/>
    </row>
    <row r="79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3"/>
    </row>
    <row r="80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3"/>
    </row>
    <row r="81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3"/>
    </row>
    <row r="82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3"/>
    </row>
    <row r="83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3"/>
    </row>
    <row r="84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3"/>
    </row>
    <row r="85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3"/>
    </row>
    <row r="8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3"/>
    </row>
    <row r="87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3"/>
    </row>
    <row r="88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3"/>
    </row>
    <row r="89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3"/>
    </row>
    <row r="90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3"/>
    </row>
    <row r="91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3"/>
    </row>
    <row r="92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3"/>
    </row>
    <row r="93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3"/>
    </row>
    <row r="94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3"/>
    </row>
    <row r="95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3"/>
    </row>
    <row r="9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3"/>
    </row>
    <row r="97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3"/>
    </row>
    <row r="98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3"/>
    </row>
    <row r="99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3"/>
    </row>
    <row r="100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3"/>
    </row>
    <row r="101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3"/>
    </row>
    <row r="102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3"/>
    </row>
    <row r="103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3"/>
    </row>
    <row r="104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3"/>
    </row>
    <row r="105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3"/>
    </row>
    <row r="10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3"/>
    </row>
    <row r="107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3"/>
    </row>
    <row r="108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3"/>
    </row>
    <row r="109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3"/>
    </row>
    <row r="110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3"/>
    </row>
    <row r="111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3"/>
    </row>
    <row r="112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3"/>
    </row>
    <row r="113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3"/>
    </row>
    <row r="114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3"/>
    </row>
    <row r="115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3"/>
    </row>
    <row r="11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3"/>
    </row>
    <row r="117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3"/>
    </row>
    <row r="118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3"/>
    </row>
    <row r="119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3"/>
    </row>
    <row r="120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3"/>
    </row>
    <row r="121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3"/>
    </row>
    <row r="122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3"/>
    </row>
    <row r="123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3"/>
    </row>
    <row r="124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3"/>
    </row>
    <row r="125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3"/>
    </row>
    <row r="12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3"/>
    </row>
    <row r="127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3"/>
    </row>
    <row r="128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3"/>
    </row>
    <row r="129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3"/>
    </row>
    <row r="130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3"/>
    </row>
    <row r="131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3"/>
    </row>
    <row r="132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3"/>
    </row>
    <row r="133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3"/>
    </row>
    <row r="134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3"/>
    </row>
    <row r="135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3"/>
    </row>
    <row r="13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3"/>
    </row>
    <row r="137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3"/>
    </row>
    <row r="138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3"/>
    </row>
    <row r="139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3"/>
    </row>
    <row r="140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3"/>
    </row>
    <row r="141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3"/>
    </row>
    <row r="142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3"/>
    </row>
    <row r="143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3"/>
    </row>
    <row r="144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3"/>
    </row>
    <row r="145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3"/>
    </row>
    <row r="14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3"/>
    </row>
    <row r="147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3"/>
    </row>
    <row r="148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3"/>
    </row>
    <row r="149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3"/>
    </row>
    <row r="150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3"/>
    </row>
    <row r="151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3"/>
    </row>
    <row r="152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3"/>
    </row>
    <row r="153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3"/>
    </row>
    <row r="154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3"/>
    </row>
    <row r="155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3"/>
    </row>
    <row r="15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3"/>
    </row>
    <row r="157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3"/>
    </row>
    <row r="158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3"/>
    </row>
    <row r="159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3"/>
    </row>
    <row r="160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3"/>
    </row>
    <row r="161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3"/>
    </row>
    <row r="162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3"/>
    </row>
    <row r="163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3"/>
    </row>
    <row r="164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3"/>
    </row>
    <row r="165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3"/>
    </row>
    <row r="16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3"/>
    </row>
    <row r="167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3"/>
    </row>
    <row r="168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3"/>
    </row>
    <row r="169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3"/>
    </row>
    <row r="170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3"/>
    </row>
    <row r="171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3"/>
    </row>
    <row r="172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3"/>
    </row>
    <row r="173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3"/>
    </row>
    <row r="174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3"/>
    </row>
    <row r="175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3"/>
    </row>
    <row r="17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3"/>
    </row>
    <row r="177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3"/>
    </row>
    <row r="178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3"/>
    </row>
    <row r="179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3"/>
    </row>
    <row r="180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3"/>
    </row>
    <row r="181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3"/>
    </row>
    <row r="182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3"/>
    </row>
    <row r="183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3"/>
    </row>
    <row r="184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3"/>
    </row>
    <row r="185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3"/>
    </row>
    <row r="18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3"/>
    </row>
    <row r="187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3"/>
    </row>
    <row r="188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3"/>
    </row>
    <row r="189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3"/>
    </row>
    <row r="190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3"/>
    </row>
    <row r="191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3"/>
    </row>
    <row r="192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3"/>
    </row>
    <row r="193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3"/>
    </row>
    <row r="194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3"/>
    </row>
    <row r="195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3"/>
    </row>
    <row r="19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3"/>
    </row>
    <row r="197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3"/>
    </row>
    <row r="198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3"/>
    </row>
    <row r="199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3"/>
    </row>
    <row r="200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3"/>
    </row>
    <row r="201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3"/>
    </row>
    <row r="202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3"/>
    </row>
    <row r="203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3"/>
    </row>
    <row r="204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3"/>
    </row>
    <row r="205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3"/>
    </row>
    <row r="20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3"/>
    </row>
    <row r="207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3"/>
    </row>
    <row r="208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3"/>
    </row>
    <row r="209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3"/>
    </row>
    <row r="210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3"/>
    </row>
    <row r="211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3"/>
    </row>
    <row r="212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3"/>
    </row>
    <row r="213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3"/>
    </row>
    <row r="214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3"/>
    </row>
    <row r="215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3"/>
    </row>
    <row r="21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3"/>
    </row>
    <row r="217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3"/>
    </row>
    <row r="218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3"/>
    </row>
    <row r="219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3"/>
    </row>
    <row r="220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3"/>
    </row>
    <row r="221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3"/>
    </row>
    <row r="222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3"/>
    </row>
    <row r="223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3"/>
    </row>
    <row r="224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3"/>
    </row>
    <row r="225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3"/>
    </row>
    <row r="226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3"/>
    </row>
    <row r="227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3"/>
    </row>
    <row r="228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3"/>
    </row>
    <row r="229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3"/>
    </row>
    <row r="230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3"/>
    </row>
    <row r="231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3"/>
    </row>
    <row r="232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3"/>
    </row>
    <row r="233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3"/>
    </row>
    <row r="234" ht="14.2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3"/>
    </row>
    <row r="235" ht="14.2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3"/>
    </row>
    <row r="236" ht="14.2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3"/>
    </row>
    <row r="237" ht="14.2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3"/>
    </row>
    <row r="238" ht="14.2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3"/>
    </row>
    <row r="239" ht="14.2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3"/>
    </row>
    <row r="240" ht="14.2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3"/>
    </row>
    <row r="241" ht="14.2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3"/>
    </row>
    <row r="242" ht="14.2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3"/>
    </row>
    <row r="243" ht="14.2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3"/>
    </row>
    <row r="244" ht="14.2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3"/>
    </row>
    <row r="245" ht="14.2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3"/>
    </row>
    <row r="246" ht="14.2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3"/>
    </row>
    <row r="247" ht="14.2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3"/>
    </row>
    <row r="248" ht="14.2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3"/>
    </row>
    <row r="249" ht="14.2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3"/>
    </row>
    <row r="250" ht="14.2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3"/>
    </row>
    <row r="251" ht="14.2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3"/>
    </row>
    <row r="252" ht="14.2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3"/>
    </row>
    <row r="253" ht="14.2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3"/>
    </row>
    <row r="254" ht="14.2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3"/>
    </row>
    <row r="255" ht="14.2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3"/>
    </row>
    <row r="256" ht="14.2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3"/>
    </row>
    <row r="257" ht="14.2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3"/>
    </row>
    <row r="258" ht="14.2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3"/>
    </row>
    <row r="259" ht="14.2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3"/>
    </row>
    <row r="260" ht="14.2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3"/>
    </row>
    <row r="261" ht="14.2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3"/>
    </row>
    <row r="262" ht="14.2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3"/>
    </row>
    <row r="263" ht="14.2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3"/>
    </row>
    <row r="264" ht="14.2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3"/>
    </row>
    <row r="265" ht="14.2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3"/>
    </row>
    <row r="266" ht="14.2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3"/>
    </row>
    <row r="267" ht="14.2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3"/>
    </row>
    <row r="268" ht="14.2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3"/>
    </row>
    <row r="269" ht="14.2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3"/>
    </row>
    <row r="270" ht="14.2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3"/>
    </row>
    <row r="271" ht="14.2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3"/>
    </row>
    <row r="272" ht="14.2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3"/>
    </row>
    <row r="273" ht="14.2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3"/>
    </row>
    <row r="274" ht="14.2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3"/>
    </row>
    <row r="275" ht="14.2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3"/>
    </row>
    <row r="276" ht="14.2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3"/>
    </row>
    <row r="277" ht="14.2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3"/>
    </row>
    <row r="278" ht="14.2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3"/>
    </row>
    <row r="279" ht="14.2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3"/>
    </row>
    <row r="280" ht="14.2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3"/>
    </row>
    <row r="281" ht="14.2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3"/>
    </row>
    <row r="282" ht="14.2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3"/>
    </row>
    <row r="283" ht="14.2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3"/>
    </row>
    <row r="284" ht="14.2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3"/>
    </row>
    <row r="285" ht="14.2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3"/>
    </row>
    <row r="286" ht="14.2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3"/>
    </row>
    <row r="287" ht="14.2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3"/>
    </row>
    <row r="288" ht="14.2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3"/>
    </row>
    <row r="289" ht="14.2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3"/>
    </row>
    <row r="290" ht="14.2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3"/>
    </row>
    <row r="291" ht="14.2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3"/>
    </row>
    <row r="292" ht="14.2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3"/>
    </row>
    <row r="293" ht="14.2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3"/>
    </row>
    <row r="294" ht="14.2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3"/>
    </row>
    <row r="295" ht="14.2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3"/>
    </row>
    <row r="296" ht="14.2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3"/>
    </row>
    <row r="297" ht="14.2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3"/>
    </row>
    <row r="298" ht="14.2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3"/>
    </row>
    <row r="299" ht="14.2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3"/>
    </row>
    <row r="300" ht="14.2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3"/>
    </row>
    <row r="301" ht="14.2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3"/>
    </row>
    <row r="302" ht="14.2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3"/>
    </row>
    <row r="303" ht="14.2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3"/>
    </row>
    <row r="304" ht="14.2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3"/>
    </row>
    <row r="305" ht="14.2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3"/>
    </row>
    <row r="306" ht="14.2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3"/>
    </row>
    <row r="307" ht="14.2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3"/>
    </row>
    <row r="308" ht="14.2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3"/>
    </row>
    <row r="309" ht="14.2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3"/>
    </row>
    <row r="310" ht="14.2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3"/>
    </row>
    <row r="311" ht="14.2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3"/>
    </row>
    <row r="312" ht="14.2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3"/>
    </row>
    <row r="313" ht="14.2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3"/>
    </row>
    <row r="314" ht="14.2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3"/>
    </row>
    <row r="315" ht="14.2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3"/>
    </row>
    <row r="316" ht="14.2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3"/>
    </row>
    <row r="317" ht="14.2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3"/>
    </row>
    <row r="318" ht="14.2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3"/>
    </row>
    <row r="319" ht="14.2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3"/>
    </row>
    <row r="320" ht="14.2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3"/>
    </row>
    <row r="321" ht="14.2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3"/>
    </row>
    <row r="322" ht="14.2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3"/>
    </row>
    <row r="323" ht="14.2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3"/>
    </row>
    <row r="324" ht="14.2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3"/>
    </row>
    <row r="325" ht="14.2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3"/>
    </row>
    <row r="326" ht="14.2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3"/>
    </row>
    <row r="327" ht="14.2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3"/>
    </row>
    <row r="328" ht="14.2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3"/>
    </row>
    <row r="329" ht="14.2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3"/>
    </row>
    <row r="330" ht="14.2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3"/>
    </row>
    <row r="331" ht="14.2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3"/>
    </row>
    <row r="332" ht="14.2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3"/>
    </row>
    <row r="333" ht="14.2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3"/>
    </row>
    <row r="334" ht="14.2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3"/>
    </row>
    <row r="335" ht="14.2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3"/>
    </row>
    <row r="336" ht="14.2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3"/>
    </row>
    <row r="337" ht="14.2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3"/>
    </row>
    <row r="338" ht="14.2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3"/>
    </row>
    <row r="339" ht="14.2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3"/>
    </row>
    <row r="340" ht="14.2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3"/>
    </row>
    <row r="341" ht="14.2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3"/>
    </row>
    <row r="342" ht="14.2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3"/>
    </row>
    <row r="343" ht="14.2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3"/>
    </row>
    <row r="344" ht="14.2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3"/>
    </row>
    <row r="345" ht="14.2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3"/>
    </row>
    <row r="346" ht="14.2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3"/>
    </row>
    <row r="347" ht="14.2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3"/>
    </row>
    <row r="348" ht="14.2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3"/>
    </row>
    <row r="349" ht="14.2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3"/>
    </row>
    <row r="350" ht="14.2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3"/>
    </row>
    <row r="351" ht="14.2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3"/>
    </row>
    <row r="352" ht="14.2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3"/>
    </row>
    <row r="353" ht="14.2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3"/>
    </row>
    <row r="354" ht="14.2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3"/>
    </row>
    <row r="355" ht="14.2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3"/>
    </row>
    <row r="356" ht="14.2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3"/>
    </row>
    <row r="357" ht="14.2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3"/>
    </row>
    <row r="358" ht="14.2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3"/>
    </row>
    <row r="359" ht="14.2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3"/>
    </row>
    <row r="360" ht="14.2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3"/>
    </row>
    <row r="361" ht="14.2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3"/>
    </row>
    <row r="362" ht="14.2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3"/>
    </row>
    <row r="363" ht="14.2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3"/>
    </row>
    <row r="364" ht="14.2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3"/>
    </row>
    <row r="365" ht="14.2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3"/>
    </row>
    <row r="366" ht="14.2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3"/>
    </row>
    <row r="367" ht="14.2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3"/>
    </row>
    <row r="368" ht="14.2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3"/>
    </row>
    <row r="369" ht="14.2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3"/>
    </row>
    <row r="370" ht="14.2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3"/>
    </row>
    <row r="371" ht="14.2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3"/>
    </row>
    <row r="372" ht="14.2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3"/>
    </row>
    <row r="373" ht="14.2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3"/>
    </row>
    <row r="374" ht="14.2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3"/>
    </row>
    <row r="375" ht="14.2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3"/>
    </row>
    <row r="376" ht="14.2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3"/>
    </row>
    <row r="377" ht="14.2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3"/>
    </row>
    <row r="378" ht="14.2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3"/>
    </row>
    <row r="379" ht="14.2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3"/>
    </row>
    <row r="380" ht="14.2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3"/>
    </row>
    <row r="381" ht="14.2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3"/>
    </row>
    <row r="382" ht="14.2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3"/>
    </row>
    <row r="383" ht="14.2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3"/>
    </row>
    <row r="384" ht="14.2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3"/>
    </row>
    <row r="385" ht="14.2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3"/>
    </row>
    <row r="386" ht="14.2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3"/>
    </row>
    <row r="387" ht="14.2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3"/>
    </row>
    <row r="388" ht="14.2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3"/>
    </row>
    <row r="389" ht="14.2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3"/>
    </row>
    <row r="390" ht="14.2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3"/>
    </row>
    <row r="391" ht="14.2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3"/>
    </row>
    <row r="392" ht="14.2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3"/>
    </row>
    <row r="393" ht="14.2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3"/>
    </row>
    <row r="394" ht="14.2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3"/>
    </row>
    <row r="395" ht="14.2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3"/>
    </row>
    <row r="396" ht="14.2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3"/>
    </row>
    <row r="397" ht="14.2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3"/>
    </row>
    <row r="398" ht="14.2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3"/>
    </row>
    <row r="399" ht="14.2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3"/>
    </row>
    <row r="400" ht="14.2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3"/>
    </row>
    <row r="401" ht="14.2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3"/>
    </row>
    <row r="402" ht="14.2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3"/>
    </row>
    <row r="403" ht="14.2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3"/>
    </row>
    <row r="404" ht="14.2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3"/>
    </row>
    <row r="405" ht="14.2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3"/>
    </row>
    <row r="406" ht="14.2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3"/>
    </row>
    <row r="407" ht="14.2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3"/>
    </row>
    <row r="408" ht="14.2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3"/>
    </row>
    <row r="409" ht="14.2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3"/>
    </row>
    <row r="410" ht="14.2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3"/>
    </row>
    <row r="411" ht="14.2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3"/>
    </row>
    <row r="412" ht="14.2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3"/>
    </row>
    <row r="413" ht="14.2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3"/>
    </row>
    <row r="414" ht="14.2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3"/>
    </row>
    <row r="415" ht="14.2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3"/>
    </row>
    <row r="416" ht="14.2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3"/>
    </row>
    <row r="417" ht="14.2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3"/>
    </row>
    <row r="418" ht="14.2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3"/>
    </row>
    <row r="419" ht="14.2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3"/>
    </row>
    <row r="420" ht="14.2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3"/>
    </row>
    <row r="421" ht="14.2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3"/>
    </row>
    <row r="422" ht="14.2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3"/>
    </row>
    <row r="423" ht="14.2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3"/>
    </row>
    <row r="424" ht="14.2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3"/>
    </row>
    <row r="425" ht="14.2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3"/>
    </row>
    <row r="426" ht="14.2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3"/>
    </row>
    <row r="427" ht="14.2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3"/>
    </row>
    <row r="428" ht="14.2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3"/>
    </row>
    <row r="429" ht="14.2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3"/>
    </row>
    <row r="430" ht="14.2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3"/>
    </row>
    <row r="431" ht="14.2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3"/>
    </row>
    <row r="432" ht="14.2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3"/>
    </row>
    <row r="433" ht="14.2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3"/>
    </row>
    <row r="434" ht="14.2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3"/>
    </row>
    <row r="435" ht="14.2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3"/>
    </row>
    <row r="436" ht="14.2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3"/>
    </row>
    <row r="437" ht="14.2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3"/>
    </row>
    <row r="438" ht="14.2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3"/>
    </row>
    <row r="439" ht="14.2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3"/>
    </row>
    <row r="440" ht="14.2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3"/>
    </row>
    <row r="441" ht="14.2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3"/>
    </row>
    <row r="442" ht="14.2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3"/>
    </row>
    <row r="443" ht="14.2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3"/>
    </row>
    <row r="444" ht="14.2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3"/>
    </row>
    <row r="445" ht="14.2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3"/>
    </row>
    <row r="446" ht="14.2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3"/>
    </row>
    <row r="447" ht="14.2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3"/>
    </row>
    <row r="448" ht="14.2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3"/>
    </row>
    <row r="449" ht="14.2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3"/>
    </row>
    <row r="450" ht="14.2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3"/>
    </row>
    <row r="451" ht="14.2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3"/>
    </row>
    <row r="452" ht="14.2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3"/>
    </row>
    <row r="453" ht="14.2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3"/>
    </row>
    <row r="454" ht="14.2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3"/>
    </row>
    <row r="455" ht="14.2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3"/>
    </row>
    <row r="456" ht="14.2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3"/>
    </row>
    <row r="457" ht="14.2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3"/>
    </row>
    <row r="458" ht="14.2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3"/>
    </row>
    <row r="459" ht="14.2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3"/>
    </row>
    <row r="460" ht="14.2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3"/>
    </row>
    <row r="461" ht="14.2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3"/>
    </row>
    <row r="462" ht="14.2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3"/>
    </row>
    <row r="463" ht="14.2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3"/>
    </row>
    <row r="464" ht="14.2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3"/>
    </row>
    <row r="465" ht="14.2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3"/>
    </row>
    <row r="466" ht="14.2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3"/>
    </row>
    <row r="467" ht="14.2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3"/>
    </row>
    <row r="468" ht="14.2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3"/>
    </row>
    <row r="469" ht="14.2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3"/>
    </row>
    <row r="470" ht="14.2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3"/>
    </row>
    <row r="471" ht="14.2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3"/>
    </row>
    <row r="472" ht="14.2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3"/>
    </row>
    <row r="473" ht="14.2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3"/>
    </row>
    <row r="474" ht="14.2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3"/>
    </row>
    <row r="475" ht="14.2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3"/>
    </row>
    <row r="476" ht="14.2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3"/>
    </row>
    <row r="477" ht="14.2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3"/>
    </row>
    <row r="478" ht="14.2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3"/>
    </row>
    <row r="479" ht="14.2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3"/>
    </row>
    <row r="480" ht="14.2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3"/>
    </row>
    <row r="481" ht="14.2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3"/>
    </row>
    <row r="482" ht="14.2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3"/>
    </row>
    <row r="483" ht="14.2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3"/>
    </row>
    <row r="484" ht="14.2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3"/>
    </row>
    <row r="485" ht="14.2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3"/>
    </row>
    <row r="486" ht="14.2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3"/>
    </row>
    <row r="487" ht="14.2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3"/>
    </row>
    <row r="488" ht="14.2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3"/>
    </row>
    <row r="489" ht="14.2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3"/>
    </row>
    <row r="490" ht="14.2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3"/>
    </row>
    <row r="491" ht="14.2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3"/>
    </row>
    <row r="492" ht="14.2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3"/>
    </row>
    <row r="493" ht="14.2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3"/>
    </row>
    <row r="494" ht="14.2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3"/>
    </row>
    <row r="495" ht="14.2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3"/>
    </row>
    <row r="496" ht="14.2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3"/>
    </row>
    <row r="497" ht="14.2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3"/>
    </row>
    <row r="498" ht="14.2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3"/>
    </row>
    <row r="499" ht="14.2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3"/>
    </row>
    <row r="500" ht="14.2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3"/>
    </row>
    <row r="501" ht="14.2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3"/>
    </row>
    <row r="502" ht="14.2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3"/>
    </row>
    <row r="503" ht="14.2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3"/>
    </row>
    <row r="504" ht="14.2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3"/>
    </row>
    <row r="505" ht="14.2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3"/>
    </row>
    <row r="506" ht="14.2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3"/>
    </row>
    <row r="507" ht="14.2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3"/>
    </row>
    <row r="508" ht="14.2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3"/>
    </row>
    <row r="509" ht="14.2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3"/>
    </row>
    <row r="510" ht="14.2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3"/>
    </row>
    <row r="511" ht="14.2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3"/>
    </row>
    <row r="512" ht="14.2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3"/>
    </row>
    <row r="513" ht="14.2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3"/>
    </row>
    <row r="514" ht="14.2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3"/>
    </row>
    <row r="515" ht="14.2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3"/>
    </row>
    <row r="516" ht="14.2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3"/>
    </row>
    <row r="517" ht="14.2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3"/>
    </row>
    <row r="518" ht="14.2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3"/>
    </row>
    <row r="519" ht="14.2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3"/>
    </row>
    <row r="520" ht="14.2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3"/>
    </row>
    <row r="521" ht="14.2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3"/>
    </row>
    <row r="522" ht="14.2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3"/>
    </row>
    <row r="523" ht="14.2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3"/>
    </row>
    <row r="524" ht="14.2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3"/>
    </row>
    <row r="525" ht="14.2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3"/>
    </row>
    <row r="526" ht="14.2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3"/>
    </row>
    <row r="527" ht="14.2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3"/>
    </row>
    <row r="528" ht="14.2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3"/>
    </row>
    <row r="529" ht="14.2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3"/>
    </row>
    <row r="530" ht="14.2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3"/>
    </row>
    <row r="531" ht="14.2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3"/>
    </row>
    <row r="532" ht="14.2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3"/>
    </row>
    <row r="533" ht="14.2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3"/>
    </row>
    <row r="534" ht="14.2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3"/>
    </row>
    <row r="535" ht="14.2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3"/>
    </row>
    <row r="536" ht="14.2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3"/>
    </row>
    <row r="537" ht="14.2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3"/>
    </row>
    <row r="538" ht="14.2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3"/>
    </row>
    <row r="539" ht="14.2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3"/>
    </row>
    <row r="540" ht="14.2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3"/>
    </row>
    <row r="541" ht="14.2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3"/>
    </row>
    <row r="542" ht="14.2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3"/>
    </row>
    <row r="543" ht="14.2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3"/>
    </row>
    <row r="544" ht="14.2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3"/>
    </row>
    <row r="545" ht="14.2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3"/>
    </row>
    <row r="546" ht="14.2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3"/>
    </row>
    <row r="547" ht="14.2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3"/>
    </row>
    <row r="548" ht="14.2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3"/>
    </row>
    <row r="549" ht="14.2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3"/>
    </row>
    <row r="550" ht="14.2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3"/>
    </row>
    <row r="551" ht="14.2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3"/>
    </row>
    <row r="552" ht="14.2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3"/>
    </row>
    <row r="553" ht="14.2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3"/>
    </row>
    <row r="554" ht="14.2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3"/>
    </row>
    <row r="555" ht="14.2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3"/>
    </row>
    <row r="556" ht="14.2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3"/>
    </row>
    <row r="557" ht="14.2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3"/>
    </row>
    <row r="558" ht="14.2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3"/>
    </row>
    <row r="559" ht="14.2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3"/>
    </row>
    <row r="560" ht="14.2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3"/>
    </row>
    <row r="561" ht="14.2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3"/>
    </row>
    <row r="562" ht="14.2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3"/>
    </row>
    <row r="563" ht="14.2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3"/>
    </row>
    <row r="564" ht="14.2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3"/>
    </row>
    <row r="565" ht="14.2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3"/>
    </row>
    <row r="566" ht="14.2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3"/>
    </row>
    <row r="567" ht="14.2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3"/>
    </row>
    <row r="568" ht="14.2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3"/>
    </row>
    <row r="569" ht="14.2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3"/>
    </row>
    <row r="570" ht="14.2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3"/>
    </row>
    <row r="571" ht="14.2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3"/>
    </row>
    <row r="572" ht="14.2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3"/>
    </row>
    <row r="573" ht="14.2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3"/>
    </row>
    <row r="574" ht="14.2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3"/>
    </row>
    <row r="575" ht="14.2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3"/>
    </row>
    <row r="576" ht="14.2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3"/>
    </row>
    <row r="577" ht="14.2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3"/>
    </row>
    <row r="578" ht="14.2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3"/>
    </row>
    <row r="579" ht="14.2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3"/>
    </row>
    <row r="580" ht="14.2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3"/>
    </row>
    <row r="581" ht="14.2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3"/>
    </row>
    <row r="582" ht="14.2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3"/>
    </row>
    <row r="583" ht="14.2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3"/>
    </row>
    <row r="584" ht="14.2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3"/>
    </row>
    <row r="585" ht="14.2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3"/>
    </row>
    <row r="586" ht="14.2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3"/>
    </row>
    <row r="587" ht="14.2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3"/>
    </row>
    <row r="588" ht="14.2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3"/>
    </row>
    <row r="589" ht="14.2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3"/>
    </row>
    <row r="590" ht="14.2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3"/>
    </row>
    <row r="591" ht="14.2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3"/>
    </row>
    <row r="592" ht="14.2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3"/>
    </row>
    <row r="593" ht="14.2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3"/>
    </row>
    <row r="594" ht="14.2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3"/>
    </row>
    <row r="595" ht="14.2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3"/>
    </row>
    <row r="596" ht="14.2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3"/>
    </row>
    <row r="597" ht="14.2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3"/>
    </row>
    <row r="598" ht="14.2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3"/>
    </row>
    <row r="599" ht="14.2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3"/>
    </row>
    <row r="600" ht="14.2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3"/>
    </row>
    <row r="601" ht="14.2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3"/>
    </row>
    <row r="602" ht="14.2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3"/>
    </row>
    <row r="603" ht="14.2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3"/>
    </row>
    <row r="604" ht="14.2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3"/>
    </row>
    <row r="605" ht="14.2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3"/>
    </row>
    <row r="606" ht="14.2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3"/>
    </row>
    <row r="607" ht="14.2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3"/>
    </row>
    <row r="608" ht="14.2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3"/>
    </row>
    <row r="609" ht="14.2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3"/>
    </row>
    <row r="610" ht="14.2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3"/>
    </row>
    <row r="611" ht="14.2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3"/>
    </row>
    <row r="612" ht="14.2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3"/>
    </row>
    <row r="613" ht="14.2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3"/>
    </row>
    <row r="614" ht="14.2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3"/>
    </row>
    <row r="615" ht="14.2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3"/>
    </row>
    <row r="616" ht="14.2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3"/>
    </row>
    <row r="617" ht="14.2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3"/>
    </row>
    <row r="618" ht="14.2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3"/>
    </row>
    <row r="619" ht="14.2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3"/>
    </row>
    <row r="620" ht="14.2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3"/>
    </row>
    <row r="621" ht="14.2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3"/>
    </row>
    <row r="622" ht="14.2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3"/>
    </row>
    <row r="623" ht="14.2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3"/>
    </row>
    <row r="624" ht="14.2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3"/>
    </row>
    <row r="625" ht="14.2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3"/>
    </row>
    <row r="626" ht="14.2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3"/>
    </row>
    <row r="627" ht="14.2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3"/>
    </row>
    <row r="628" ht="14.2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3"/>
    </row>
    <row r="629" ht="14.2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3"/>
    </row>
    <row r="630" ht="14.2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3"/>
    </row>
    <row r="631" ht="14.2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3"/>
    </row>
    <row r="632" ht="14.2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3"/>
    </row>
    <row r="633" ht="14.2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3"/>
    </row>
    <row r="634" ht="14.2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3"/>
    </row>
    <row r="635" ht="14.2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3"/>
    </row>
    <row r="636" ht="14.2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3"/>
    </row>
    <row r="637" ht="14.2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3"/>
    </row>
    <row r="638" ht="14.2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3"/>
    </row>
    <row r="639" ht="14.2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3"/>
    </row>
    <row r="640" ht="14.2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3"/>
    </row>
    <row r="641" ht="14.2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3"/>
    </row>
    <row r="642" ht="14.2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3"/>
    </row>
    <row r="643" ht="14.2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3"/>
    </row>
    <row r="644" ht="14.2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3"/>
    </row>
    <row r="645" ht="14.2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3"/>
    </row>
    <row r="646" ht="14.2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3"/>
    </row>
    <row r="647" ht="14.2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3"/>
    </row>
    <row r="648" ht="14.2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3"/>
    </row>
    <row r="649" ht="14.2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3"/>
    </row>
    <row r="650" ht="14.2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3"/>
    </row>
    <row r="651" ht="14.2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3"/>
    </row>
    <row r="652" ht="14.2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3"/>
    </row>
    <row r="653" ht="14.2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3"/>
    </row>
    <row r="654" ht="14.2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3"/>
    </row>
    <row r="655" ht="14.2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3"/>
    </row>
    <row r="656" ht="14.2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3"/>
    </row>
    <row r="657" ht="14.2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3"/>
    </row>
    <row r="658" ht="14.2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3"/>
    </row>
    <row r="659" ht="14.2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3"/>
    </row>
    <row r="660" ht="14.2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3"/>
    </row>
    <row r="661" ht="14.2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3"/>
    </row>
    <row r="662" ht="14.2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3"/>
    </row>
    <row r="663" ht="14.2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3"/>
    </row>
    <row r="664" ht="14.2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3"/>
    </row>
    <row r="665" ht="14.2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3"/>
    </row>
    <row r="666" ht="14.2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3"/>
    </row>
    <row r="667" ht="14.2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3"/>
    </row>
    <row r="668" ht="14.2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3"/>
    </row>
    <row r="669" ht="14.2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3"/>
    </row>
    <row r="670" ht="14.2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3"/>
    </row>
    <row r="671" ht="14.2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3"/>
    </row>
    <row r="672" ht="14.2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3"/>
    </row>
    <row r="673" ht="14.2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3"/>
    </row>
    <row r="674" ht="14.2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3"/>
    </row>
    <row r="675" ht="14.2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3"/>
    </row>
    <row r="676" ht="14.2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3"/>
    </row>
    <row r="677" ht="14.2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3"/>
    </row>
    <row r="678" ht="14.2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3"/>
    </row>
    <row r="679" ht="14.2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3"/>
    </row>
    <row r="680" ht="14.2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3"/>
    </row>
    <row r="681" ht="14.2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3"/>
    </row>
    <row r="682" ht="14.2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3"/>
    </row>
    <row r="683" ht="14.2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3"/>
    </row>
    <row r="684" ht="14.2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3"/>
    </row>
    <row r="685" ht="14.2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3"/>
    </row>
    <row r="686" ht="14.2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3"/>
    </row>
    <row r="687" ht="14.2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3"/>
    </row>
    <row r="688" ht="14.2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3"/>
    </row>
    <row r="689" ht="14.2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3"/>
    </row>
    <row r="690" ht="14.2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3"/>
    </row>
    <row r="691" ht="14.2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3"/>
    </row>
    <row r="692" ht="14.2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3"/>
    </row>
    <row r="693" ht="14.2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3"/>
    </row>
    <row r="694" ht="14.2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3"/>
    </row>
    <row r="695" ht="14.2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3"/>
    </row>
    <row r="696" ht="14.2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3"/>
    </row>
    <row r="697" ht="14.2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3"/>
    </row>
    <row r="698" ht="14.2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3"/>
    </row>
    <row r="699" ht="14.2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3"/>
    </row>
    <row r="700" ht="14.2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3"/>
    </row>
    <row r="701" ht="14.2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3"/>
    </row>
    <row r="702" ht="14.2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3"/>
    </row>
    <row r="703" ht="14.2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3"/>
    </row>
    <row r="704" ht="14.2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3"/>
    </row>
    <row r="705" ht="14.2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3"/>
    </row>
    <row r="706" ht="14.2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3"/>
    </row>
    <row r="707" ht="14.2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3"/>
    </row>
    <row r="708" ht="14.2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3"/>
    </row>
    <row r="709" ht="14.2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3"/>
    </row>
    <row r="710" ht="14.2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3"/>
    </row>
    <row r="711" ht="14.2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3"/>
    </row>
    <row r="712" ht="14.2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3"/>
    </row>
    <row r="713" ht="14.2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3"/>
    </row>
    <row r="714" ht="14.2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3"/>
    </row>
    <row r="715" ht="14.2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3"/>
    </row>
    <row r="716" ht="14.2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3"/>
    </row>
    <row r="717" ht="14.2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3"/>
    </row>
    <row r="718" ht="14.2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3"/>
    </row>
    <row r="719" ht="14.2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3"/>
    </row>
    <row r="720" ht="14.2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3"/>
    </row>
    <row r="721" ht="14.2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3"/>
    </row>
    <row r="722" ht="14.2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3"/>
    </row>
    <row r="723" ht="14.2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3"/>
    </row>
    <row r="724" ht="14.2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3"/>
    </row>
    <row r="725" ht="14.2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3"/>
    </row>
    <row r="726" ht="14.2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3"/>
    </row>
    <row r="727" ht="14.2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3"/>
    </row>
    <row r="728" ht="14.2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3"/>
    </row>
    <row r="729" ht="14.2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3"/>
    </row>
    <row r="730" ht="14.2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3"/>
    </row>
    <row r="731" ht="14.2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3"/>
    </row>
    <row r="732" ht="14.2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3"/>
    </row>
    <row r="733" ht="14.2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3"/>
    </row>
    <row r="734" ht="14.2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3"/>
    </row>
    <row r="735" ht="14.2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3"/>
    </row>
    <row r="736" ht="14.2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3"/>
    </row>
    <row r="737" ht="14.2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3"/>
    </row>
    <row r="738" ht="14.2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3"/>
    </row>
    <row r="739" ht="14.2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3"/>
    </row>
    <row r="740" ht="14.2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3"/>
    </row>
    <row r="741" ht="14.2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3"/>
    </row>
    <row r="742" ht="14.2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3"/>
    </row>
    <row r="743" ht="14.2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3"/>
    </row>
    <row r="744" ht="14.2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3"/>
    </row>
    <row r="745" ht="14.2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3"/>
    </row>
    <row r="746" ht="14.2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3"/>
    </row>
    <row r="747" ht="14.2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3"/>
    </row>
    <row r="748" ht="14.2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3"/>
    </row>
    <row r="749" ht="14.2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3"/>
    </row>
    <row r="750" ht="14.2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3"/>
    </row>
    <row r="751" ht="14.2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3"/>
    </row>
    <row r="752" ht="14.2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3"/>
    </row>
    <row r="753" ht="14.2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3"/>
    </row>
    <row r="754" ht="14.2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3"/>
    </row>
    <row r="755" ht="14.2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3"/>
    </row>
    <row r="756" ht="14.2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3"/>
    </row>
    <row r="757" ht="14.2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3"/>
    </row>
    <row r="758" ht="14.2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3"/>
    </row>
    <row r="759" ht="14.2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3"/>
    </row>
    <row r="760" ht="14.2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3"/>
    </row>
    <row r="761" ht="14.2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3"/>
    </row>
    <row r="762" ht="14.2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3"/>
    </row>
    <row r="763" ht="14.2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3"/>
    </row>
    <row r="764" ht="14.2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3"/>
    </row>
    <row r="765" ht="14.2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3"/>
    </row>
    <row r="766" ht="14.2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3"/>
    </row>
    <row r="767" ht="14.2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3"/>
    </row>
    <row r="768" ht="14.2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3"/>
    </row>
    <row r="769" ht="14.2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3"/>
    </row>
    <row r="770" ht="14.2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3"/>
    </row>
    <row r="771" ht="14.2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3"/>
    </row>
    <row r="772" ht="14.2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3"/>
    </row>
    <row r="773" ht="14.2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3"/>
    </row>
    <row r="774" ht="14.2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3"/>
    </row>
    <row r="775" ht="14.2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3"/>
    </row>
    <row r="776" ht="14.2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3"/>
    </row>
    <row r="777" ht="14.2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3"/>
    </row>
    <row r="778" ht="14.2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3"/>
    </row>
    <row r="779" ht="14.2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3"/>
    </row>
    <row r="780" ht="14.2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3"/>
    </row>
    <row r="781" ht="14.2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3"/>
    </row>
    <row r="782" ht="14.2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3"/>
    </row>
    <row r="783" ht="14.2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3"/>
    </row>
    <row r="784" ht="14.2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3"/>
    </row>
    <row r="785" ht="14.2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3"/>
    </row>
    <row r="786" ht="14.2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3"/>
    </row>
    <row r="787" ht="14.2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3"/>
    </row>
    <row r="788" ht="14.2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3"/>
    </row>
    <row r="789" ht="14.2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3"/>
    </row>
    <row r="790" ht="14.2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3"/>
    </row>
    <row r="791" ht="14.2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3"/>
    </row>
    <row r="792" ht="14.2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3"/>
    </row>
    <row r="793" ht="14.2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3"/>
    </row>
    <row r="794" ht="14.2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3"/>
    </row>
    <row r="795" ht="14.2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3"/>
    </row>
    <row r="796" ht="14.2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3"/>
    </row>
    <row r="797" ht="14.2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3"/>
    </row>
    <row r="798" ht="14.2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3"/>
    </row>
    <row r="799" ht="14.2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3"/>
    </row>
    <row r="800" ht="14.2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3"/>
    </row>
    <row r="801" ht="14.2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3"/>
    </row>
    <row r="802" ht="14.2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3"/>
    </row>
    <row r="803" ht="14.2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3"/>
    </row>
    <row r="804" ht="14.2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3"/>
    </row>
    <row r="805" ht="14.2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3"/>
    </row>
    <row r="806" ht="14.2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3"/>
    </row>
    <row r="807" ht="14.2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3"/>
    </row>
    <row r="808" ht="14.2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3"/>
    </row>
    <row r="809" ht="14.2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3"/>
    </row>
    <row r="810" ht="14.2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3"/>
    </row>
    <row r="811" ht="14.2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3"/>
    </row>
    <row r="812" ht="14.2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3"/>
    </row>
    <row r="813" ht="14.2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3"/>
    </row>
    <row r="814" ht="14.2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3"/>
    </row>
    <row r="815" ht="14.2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3"/>
    </row>
    <row r="816" ht="14.2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3"/>
    </row>
    <row r="817" ht="14.2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3"/>
    </row>
    <row r="818" ht="14.2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3"/>
    </row>
    <row r="819" ht="14.2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3"/>
    </row>
    <row r="820" ht="14.2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3"/>
    </row>
    <row r="821" ht="14.2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3"/>
    </row>
    <row r="822" ht="14.2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3"/>
    </row>
    <row r="823" ht="14.2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3"/>
    </row>
    <row r="824" ht="14.2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3"/>
    </row>
    <row r="825" ht="14.2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3"/>
    </row>
    <row r="826" ht="14.2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3"/>
    </row>
    <row r="827" ht="14.2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3"/>
    </row>
    <row r="828" ht="14.2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3"/>
    </row>
    <row r="829" ht="14.2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3"/>
    </row>
    <row r="830" ht="14.2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3"/>
    </row>
    <row r="831" ht="14.2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3"/>
    </row>
    <row r="832" ht="14.2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3"/>
    </row>
    <row r="833" ht="14.2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3"/>
    </row>
    <row r="834" ht="14.2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3"/>
    </row>
    <row r="835" ht="14.2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3"/>
    </row>
    <row r="836" ht="14.2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3"/>
    </row>
    <row r="837" ht="14.2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3"/>
    </row>
    <row r="838" ht="14.2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3"/>
    </row>
    <row r="839" ht="14.2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3"/>
    </row>
    <row r="840" ht="14.2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3"/>
    </row>
    <row r="841" ht="14.2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3"/>
    </row>
    <row r="842" ht="14.2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3"/>
    </row>
    <row r="843" ht="14.2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3"/>
    </row>
    <row r="844" ht="14.2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3"/>
    </row>
    <row r="845" ht="14.2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3"/>
    </row>
    <row r="846" ht="14.2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3"/>
    </row>
    <row r="847" ht="14.2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3"/>
    </row>
    <row r="848" ht="14.2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3"/>
    </row>
    <row r="849" ht="14.2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3"/>
    </row>
    <row r="850" ht="14.2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3"/>
    </row>
    <row r="851" ht="14.2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3"/>
    </row>
    <row r="852" ht="14.2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3"/>
    </row>
    <row r="853" ht="14.2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3"/>
    </row>
    <row r="854" ht="14.2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3"/>
    </row>
    <row r="855" ht="14.2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3"/>
    </row>
    <row r="856" ht="14.2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3"/>
    </row>
    <row r="857" ht="14.2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3"/>
    </row>
    <row r="858" ht="14.2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3"/>
    </row>
    <row r="859" ht="14.2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3"/>
    </row>
    <row r="860" ht="14.2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3"/>
    </row>
    <row r="861" ht="14.2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3"/>
    </row>
    <row r="862" ht="14.2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3"/>
    </row>
    <row r="863" ht="14.2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3"/>
    </row>
    <row r="864" ht="14.2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3"/>
    </row>
    <row r="865" ht="14.2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3"/>
    </row>
    <row r="866" ht="14.2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3"/>
    </row>
    <row r="867" ht="14.2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3"/>
    </row>
    <row r="868" ht="14.2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3"/>
    </row>
    <row r="869" ht="14.2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3"/>
    </row>
    <row r="870" ht="14.2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3"/>
    </row>
    <row r="871" ht="14.2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3"/>
    </row>
    <row r="872" ht="14.2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3"/>
    </row>
    <row r="873" ht="14.2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3"/>
    </row>
    <row r="874" ht="14.2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3"/>
    </row>
    <row r="875" ht="14.2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3"/>
    </row>
    <row r="876" ht="14.2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3"/>
    </row>
    <row r="877" ht="14.2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3"/>
    </row>
    <row r="878" ht="14.2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3"/>
    </row>
    <row r="879" ht="14.2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3"/>
    </row>
    <row r="880" ht="14.2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3"/>
    </row>
    <row r="881" ht="14.2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3"/>
    </row>
    <row r="882" ht="14.2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3"/>
    </row>
    <row r="883" ht="14.2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3"/>
    </row>
    <row r="884" ht="14.2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3"/>
    </row>
    <row r="885" ht="14.2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3"/>
    </row>
    <row r="886" ht="14.2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3"/>
    </row>
    <row r="887" ht="14.2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3"/>
    </row>
    <row r="888" ht="14.2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3"/>
    </row>
    <row r="889" ht="14.2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3"/>
    </row>
    <row r="890" ht="14.2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3"/>
    </row>
    <row r="891" ht="14.2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3"/>
    </row>
    <row r="892" ht="14.2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3"/>
    </row>
    <row r="893" ht="14.2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3"/>
    </row>
    <row r="894" ht="14.2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3"/>
    </row>
    <row r="895" ht="14.2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3"/>
    </row>
    <row r="896" ht="14.2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3"/>
    </row>
    <row r="897" ht="14.2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3"/>
    </row>
    <row r="898" ht="14.2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3"/>
    </row>
    <row r="899" ht="14.2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3"/>
    </row>
    <row r="900" ht="14.2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3"/>
    </row>
    <row r="901" ht="14.2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3"/>
    </row>
    <row r="902" ht="14.2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3"/>
    </row>
    <row r="903" ht="14.2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3"/>
    </row>
    <row r="904" ht="14.2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3"/>
    </row>
    <row r="905" ht="14.2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3"/>
    </row>
    <row r="906" ht="14.2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3"/>
    </row>
    <row r="907" ht="14.2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3"/>
    </row>
    <row r="908" ht="14.2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3"/>
    </row>
    <row r="909" ht="14.2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3"/>
    </row>
    <row r="910" ht="14.2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3"/>
    </row>
    <row r="911" ht="14.2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3"/>
    </row>
    <row r="912" ht="14.2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3"/>
    </row>
    <row r="913" ht="14.2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3"/>
    </row>
    <row r="914" ht="14.2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3"/>
    </row>
    <row r="915" ht="14.2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3"/>
    </row>
    <row r="916" ht="14.2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3"/>
    </row>
    <row r="917" ht="14.2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3"/>
    </row>
    <row r="918" ht="14.2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3"/>
    </row>
    <row r="919" ht="14.2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3"/>
    </row>
    <row r="920" ht="14.2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3"/>
    </row>
    <row r="921" ht="14.2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3"/>
    </row>
    <row r="922" ht="14.2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3"/>
    </row>
    <row r="923" ht="14.2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3"/>
    </row>
    <row r="924" ht="14.2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3"/>
    </row>
    <row r="925" ht="14.2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3"/>
    </row>
    <row r="926" ht="14.2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3"/>
    </row>
    <row r="927" ht="14.2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3"/>
    </row>
    <row r="928" ht="14.2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3"/>
    </row>
    <row r="929" ht="14.2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3"/>
    </row>
    <row r="930" ht="14.2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3"/>
    </row>
    <row r="931" ht="14.2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3"/>
    </row>
    <row r="932" ht="14.2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3"/>
    </row>
    <row r="933" ht="14.2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3"/>
    </row>
    <row r="934" ht="14.2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3"/>
    </row>
    <row r="935" ht="14.2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3"/>
    </row>
    <row r="936" ht="14.2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3"/>
    </row>
    <row r="937" ht="14.2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3"/>
    </row>
    <row r="938" ht="14.2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3"/>
    </row>
    <row r="939" ht="14.2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3"/>
    </row>
    <row r="940" ht="14.2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3"/>
    </row>
    <row r="941" ht="14.2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3"/>
    </row>
    <row r="942" ht="14.2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3"/>
    </row>
    <row r="943" ht="14.2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3"/>
    </row>
    <row r="944" ht="14.2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3"/>
    </row>
    <row r="945" ht="14.2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3"/>
    </row>
    <row r="946" ht="14.2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3"/>
    </row>
    <row r="947" ht="14.2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3"/>
    </row>
    <row r="948" ht="14.2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3"/>
    </row>
    <row r="949" ht="14.2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3"/>
    </row>
    <row r="950" ht="14.2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3"/>
    </row>
    <row r="951" ht="14.2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3"/>
    </row>
    <row r="952" ht="14.2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3"/>
    </row>
    <row r="953" ht="14.2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3"/>
    </row>
    <row r="954" ht="14.2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3"/>
    </row>
    <row r="955" ht="14.2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3"/>
    </row>
    <row r="956" ht="14.2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3"/>
    </row>
    <row r="957" ht="14.2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3"/>
    </row>
    <row r="958" ht="14.2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3"/>
    </row>
    <row r="959" ht="14.2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3"/>
    </row>
    <row r="960" ht="14.2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3"/>
    </row>
    <row r="961" ht="14.2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3"/>
    </row>
    <row r="962" ht="14.2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3"/>
    </row>
    <row r="963" ht="14.2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3"/>
    </row>
    <row r="964" ht="14.2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3"/>
    </row>
    <row r="965" ht="14.2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3"/>
    </row>
    <row r="966" ht="14.2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3"/>
    </row>
    <row r="967" ht="14.2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3"/>
    </row>
    <row r="968" ht="14.2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3"/>
    </row>
    <row r="969" ht="14.2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3"/>
    </row>
    <row r="970" ht="14.2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3"/>
    </row>
    <row r="971" ht="14.2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3"/>
    </row>
    <row r="972" ht="14.2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3"/>
    </row>
    <row r="973" ht="14.2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3"/>
    </row>
    <row r="974" ht="14.2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3"/>
    </row>
    <row r="975" ht="14.2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3"/>
    </row>
    <row r="976" ht="14.2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3"/>
    </row>
    <row r="977" ht="14.2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3"/>
    </row>
    <row r="978" ht="14.2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3"/>
    </row>
    <row r="979" ht="14.2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3"/>
    </row>
    <row r="980" ht="14.2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3"/>
    </row>
    <row r="981" ht="14.2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3"/>
    </row>
    <row r="982" ht="14.2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3"/>
    </row>
    <row r="983" ht="14.2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3"/>
    </row>
    <row r="984" ht="14.2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3"/>
    </row>
    <row r="985" ht="14.2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3"/>
    </row>
    <row r="986" ht="14.2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3"/>
    </row>
    <row r="987" ht="14.2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3"/>
    </row>
    <row r="988" ht="14.2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3"/>
    </row>
    <row r="989" ht="14.2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3"/>
    </row>
    <row r="990" ht="14.2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3"/>
    </row>
    <row r="991" ht="14.2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3"/>
    </row>
    <row r="992" ht="14.2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3"/>
    </row>
    <row r="993" ht="14.2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3"/>
    </row>
    <row r="994" ht="14.2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3"/>
    </row>
    <row r="995" ht="14.2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2021-06-28T20:12:32Z</dcterms:created>
  <dc:creator>dkang</dc:creator>
</cp:coreProperties>
</file>